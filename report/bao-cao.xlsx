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38B95CFE-643B-4345-BC04-6DD2274A5818}" xr6:coauthVersionLast="47" xr6:coauthVersionMax="47" xr10:uidLastSave="{00000000-0000-0000-0000-000000000000}"/>
  <bookViews>
    <workbookView xWindow="2730" yWindow="0" windowWidth="12570" windowHeight="12900" firstSheet="3" activeTab="3" xr2:uid="{00000000-000D-0000-FFFF-FFFF00000000}"/>
  </bookViews>
  <sheets>
    <sheet name="bc" sheetId="1" state="hidden" r:id="rId1"/>
    <sheet name="BAO CAO 30-06 (2)" sheetId="3" state="hidden" r:id="rId2"/>
    <sheet name="BAO CAO 30-06 (KHV mới)" sheetId="4" state="hidden" r:id="rId3"/>
    <sheet name="BAO CAO 18-09-2026" sheetId="5" r:id="rId4"/>
  </sheets>
  <definedNames>
    <definedName name="_xlnm._FilterDatabase" localSheetId="3" hidden="1">'BAO CAO 18-09-2026'!$A$10:$AV$74</definedName>
    <definedName name="_xlnm._FilterDatabase" localSheetId="1" hidden="1">'BAO CAO 30-06 (2)'!$A$10:$AQ$54</definedName>
    <definedName name="_xlnm._FilterDatabase" localSheetId="2" hidden="1">'BAO CAO 30-06 (KHV mới)'!$A$10:$AQ$73</definedName>
    <definedName name="_xlnm._FilterDatabase" localSheetId="0" hidden="1">bc!$A$10:$AP$80</definedName>
    <definedName name="_xlnm.Print_Area" localSheetId="3">'BAO CAO 18-09-2026'!$A$1:$AS$74</definedName>
    <definedName name="_xlnm.Print_Area" localSheetId="1">'BAO CAO 30-06 (2)'!$A$1:$AN$58</definedName>
    <definedName name="_xlnm.Print_Area" localSheetId="2">'BAO CAO 30-06 (KHV mới)'!$A$1:$AN$79</definedName>
    <definedName name="_xlnm.Print_Titles" localSheetId="3">'BAO CAO 18-09-2026'!$7:$9</definedName>
    <definedName name="_xlnm.Print_Titles" localSheetId="1">'BAO CAO 30-06 (2)'!$7:$9</definedName>
    <definedName name="_xlnm.Print_Titles" localSheetId="2">'BAO CAO 30-06 (KHV mới)'!$7:$9</definedName>
    <definedName name="_xlnm.Print_Titles" localSheetId="0">bc!$7:$9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msyWXB4Bo/hxA5GU/68VmNe/RkhYtxP4x1Gz0iSiLU="/>
    </ext>
  </extLst>
</workbook>
</file>

<file path=xl/calcChain.xml><?xml version="1.0" encoding="utf-8"?>
<calcChain xmlns="http://schemas.openxmlformats.org/spreadsheetml/2006/main">
  <c r="AE39" i="5" l="1"/>
  <c r="AF34" i="5" l="1"/>
  <c r="AA36" i="5" l="1"/>
  <c r="AE40" i="5" l="1"/>
  <c r="AE21" i="5"/>
  <c r="W45" i="5" l="1"/>
  <c r="W39" i="5"/>
  <c r="Z69" i="5" l="1"/>
  <c r="Z68" i="5"/>
  <c r="Z65" i="5"/>
  <c r="Z12" i="5" s="1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7" i="5"/>
  <c r="AA38" i="5"/>
  <c r="AA40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6" i="5"/>
  <c r="AA67" i="5"/>
  <c r="AA68" i="5"/>
  <c r="AA69" i="5"/>
  <c r="AA70" i="5"/>
  <c r="AA71" i="5"/>
  <c r="AA72" i="5"/>
  <c r="AA73" i="5"/>
  <c r="AA74" i="5"/>
  <c r="AA13" i="5"/>
  <c r="Z66" i="5"/>
  <c r="AA65" i="5" l="1"/>
  <c r="AE41" i="5"/>
  <c r="Y41" i="5"/>
  <c r="AA41" i="5" s="1"/>
  <c r="AA12" i="5" s="1"/>
  <c r="Y39" i="5"/>
  <c r="AA39" i="5" s="1"/>
  <c r="AA11" i="5" l="1"/>
  <c r="AH12" i="5"/>
  <c r="AE12" i="5" l="1"/>
  <c r="AE11" i="5" s="1"/>
  <c r="AD39" i="5" l="1"/>
  <c r="AW41" i="5" l="1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62" i="5"/>
  <c r="AF63" i="5"/>
  <c r="AF64" i="5"/>
  <c r="AF67" i="5"/>
  <c r="AF68" i="5"/>
  <c r="AF69" i="5"/>
  <c r="AF70" i="5"/>
  <c r="AF71" i="5"/>
  <c r="AF72" i="5"/>
  <c r="AF73" i="5"/>
  <c r="AF74" i="5"/>
  <c r="AF14" i="5"/>
  <c r="AD66" i="5"/>
  <c r="AF66" i="5" s="1"/>
  <c r="AD65" i="5"/>
  <c r="AF65" i="5" s="1"/>
  <c r="W63" i="5" l="1"/>
  <c r="W64" i="5"/>
  <c r="W65" i="5"/>
  <c r="W66" i="5"/>
  <c r="W68" i="5"/>
  <c r="W69" i="5"/>
  <c r="W70" i="5"/>
  <c r="W71" i="5"/>
  <c r="W72" i="5"/>
  <c r="W73" i="5"/>
  <c r="W74" i="5"/>
  <c r="W75" i="5"/>
  <c r="W52" i="5"/>
  <c r="AD12" i="5" l="1"/>
  <c r="U67" i="5"/>
  <c r="W67" i="5" s="1"/>
  <c r="W15" i="5"/>
  <c r="AF12" i="5" l="1"/>
  <c r="AF11" i="5" s="1"/>
  <c r="AD11" i="5"/>
  <c r="W13" i="5"/>
  <c r="W14" i="5"/>
  <c r="T12" i="5"/>
  <c r="N12" i="5" l="1"/>
  <c r="AW60" i="5"/>
  <c r="AC17" i="5"/>
  <c r="AC15" i="5"/>
  <c r="N11" i="5" l="1"/>
  <c r="AC12" i="5"/>
  <c r="AC11" i="5" s="1"/>
  <c r="AW36" i="5"/>
  <c r="AI35" i="5"/>
  <c r="AI63" i="5"/>
  <c r="Y12" i="5" l="1"/>
  <c r="S12" i="5" l="1"/>
  <c r="AD13" i="4" l="1"/>
  <c r="W79" i="5"/>
  <c r="AI74" i="5"/>
  <c r="AI73" i="5"/>
  <c r="AI72" i="5"/>
  <c r="AI71" i="5"/>
  <c r="AI69" i="5"/>
  <c r="AW68" i="5"/>
  <c r="AI67" i="5"/>
  <c r="AI65" i="5"/>
  <c r="AV64" i="5"/>
  <c r="AI64" i="5"/>
  <c r="AV63" i="5"/>
  <c r="W62" i="5"/>
  <c r="AX62" i="5"/>
  <c r="W61" i="5"/>
  <c r="W60" i="5"/>
  <c r="W59" i="5"/>
  <c r="AC58" i="5"/>
  <c r="W58" i="5"/>
  <c r="AC57" i="5"/>
  <c r="W57" i="5"/>
  <c r="AC56" i="5"/>
  <c r="W56" i="5"/>
  <c r="AC55" i="5"/>
  <c r="W55" i="5"/>
  <c r="W54" i="5"/>
  <c r="AY53" i="5"/>
  <c r="W53" i="5"/>
  <c r="AY52" i="5"/>
  <c r="AC52" i="5"/>
  <c r="AC51" i="5"/>
  <c r="W51" i="5"/>
  <c r="W50" i="5"/>
  <c r="AC49" i="5"/>
  <c r="W49" i="5"/>
  <c r="AC48" i="5"/>
  <c r="W48" i="5"/>
  <c r="AC47" i="5"/>
  <c r="W47" i="5"/>
  <c r="AT46" i="5"/>
  <c r="W46" i="5"/>
  <c r="W44" i="5"/>
  <c r="AU43" i="5"/>
  <c r="AC43" i="5"/>
  <c r="W43" i="5"/>
  <c r="W42" i="5"/>
  <c r="W41" i="5"/>
  <c r="W40" i="5"/>
  <c r="W38" i="5"/>
  <c r="AU37" i="5"/>
  <c r="AC37" i="5"/>
  <c r="W37" i="5"/>
  <c r="AC36" i="5"/>
  <c r="W36" i="5"/>
  <c r="AI36" i="5" s="1"/>
  <c r="M36" i="5"/>
  <c r="M12" i="5" s="1"/>
  <c r="W34" i="5"/>
  <c r="AI34" i="5" s="1"/>
  <c r="W33" i="5"/>
  <c r="AI33" i="5" s="1"/>
  <c r="W32" i="5"/>
  <c r="W31" i="5"/>
  <c r="W30" i="5"/>
  <c r="W29" i="5"/>
  <c r="W28" i="5"/>
  <c r="W27" i="5"/>
  <c r="W26" i="5"/>
  <c r="W25" i="5"/>
  <c r="W24" i="5"/>
  <c r="W23" i="5"/>
  <c r="AT22" i="5"/>
  <c r="W22" i="5"/>
  <c r="AU21" i="5"/>
  <c r="W21" i="5"/>
  <c r="W20" i="5"/>
  <c r="W19" i="5"/>
  <c r="AB17" i="5"/>
  <c r="W17" i="5"/>
  <c r="W16" i="5"/>
  <c r="AN15" i="5"/>
  <c r="AL13" i="5"/>
  <c r="AM12" i="5"/>
  <c r="V12" i="5"/>
  <c r="U12" i="5"/>
  <c r="R12" i="5"/>
  <c r="Q12" i="5"/>
  <c r="P12" i="5"/>
  <c r="O12" i="5"/>
  <c r="L12" i="5"/>
  <c r="K12" i="5"/>
  <c r="J12" i="5"/>
  <c r="I12" i="5"/>
  <c r="H12" i="5"/>
  <c r="G12" i="5"/>
  <c r="F12" i="5"/>
  <c r="E12" i="5"/>
  <c r="D12" i="5"/>
  <c r="W78" i="4"/>
  <c r="AA16" i="4"/>
  <c r="W16" i="4"/>
  <c r="AC11" i="4"/>
  <c r="O11" i="4"/>
  <c r="P11" i="4"/>
  <c r="Q11" i="4"/>
  <c r="R11" i="4"/>
  <c r="S11" i="4"/>
  <c r="T11" i="4"/>
  <c r="U11" i="4"/>
  <c r="V11" i="4"/>
  <c r="X11" i="4"/>
  <c r="Y11" i="4"/>
  <c r="N11" i="4"/>
  <c r="W24" i="4"/>
  <c r="W25" i="4"/>
  <c r="W26" i="4"/>
  <c r="W27" i="4"/>
  <c r="W28" i="4"/>
  <c r="W29" i="4"/>
  <c r="W30" i="4"/>
  <c r="W31" i="4"/>
  <c r="W32" i="4"/>
  <c r="W33" i="4"/>
  <c r="W65" i="4"/>
  <c r="W66" i="4"/>
  <c r="W67" i="4"/>
  <c r="W68" i="4"/>
  <c r="W69" i="4"/>
  <c r="W70" i="4"/>
  <c r="W71" i="4"/>
  <c r="W72" i="4"/>
  <c r="W73" i="4"/>
  <c r="W64" i="4"/>
  <c r="W22" i="4"/>
  <c r="W23" i="4"/>
  <c r="W12" i="5" l="1"/>
  <c r="W11" i="5" s="1"/>
  <c r="AB11" i="5" s="1"/>
  <c r="AI40" i="5"/>
  <c r="AI43" i="5"/>
  <c r="AL43" i="5" s="1"/>
  <c r="AI44" i="5"/>
  <c r="AL44" i="5" s="1"/>
  <c r="AI49" i="5"/>
  <c r="AL49" i="5" s="1"/>
  <c r="AI55" i="5"/>
  <c r="AL55" i="5" s="1"/>
  <c r="AI59" i="5"/>
  <c r="AL59" i="5" s="1"/>
  <c r="AI68" i="5"/>
  <c r="AI57" i="5"/>
  <c r="AL57" i="5" s="1"/>
  <c r="AI66" i="5"/>
  <c r="AL66" i="5" s="1"/>
  <c r="AI70" i="5"/>
  <c r="AI42" i="5"/>
  <c r="AL42" i="5" s="1"/>
  <c r="AI48" i="5"/>
  <c r="AL48" i="5" s="1"/>
  <c r="AI52" i="5"/>
  <c r="AL52" i="5" s="1"/>
  <c r="AI53" i="5"/>
  <c r="AL53" i="5" s="1"/>
  <c r="AI54" i="5"/>
  <c r="AL54" i="5" s="1"/>
  <c r="AI58" i="5"/>
  <c r="AL58" i="5" s="1"/>
  <c r="AI62" i="5"/>
  <c r="AL62" i="5" s="1"/>
  <c r="AI39" i="5"/>
  <c r="AL39" i="5" s="1"/>
  <c r="AI41" i="5"/>
  <c r="AL41" i="5" s="1"/>
  <c r="AI46" i="5"/>
  <c r="AL46" i="5" s="1"/>
  <c r="AI47" i="5"/>
  <c r="AL47" i="5" s="1"/>
  <c r="AI51" i="5"/>
  <c r="AL51" i="5" s="1"/>
  <c r="AI61" i="5"/>
  <c r="AL61" i="5" s="1"/>
  <c r="AI24" i="5"/>
  <c r="AI28" i="5"/>
  <c r="AI32" i="5"/>
  <c r="AI29" i="5"/>
  <c r="AI26" i="5"/>
  <c r="AI30" i="5"/>
  <c r="AI25" i="5"/>
  <c r="AI23" i="5"/>
  <c r="AI27" i="5"/>
  <c r="AI31" i="5"/>
  <c r="AI37" i="5"/>
  <c r="AL37" i="5" s="1"/>
  <c r="AI38" i="5"/>
  <c r="AL38" i="5" s="1"/>
  <c r="AI45" i="5"/>
  <c r="AL45" i="5" s="1"/>
  <c r="AI50" i="5"/>
  <c r="AL50" i="5" s="1"/>
  <c r="AI56" i="5"/>
  <c r="AL56" i="5" s="1"/>
  <c r="AI60" i="5"/>
  <c r="AL60" i="5" s="1"/>
  <c r="AN57" i="5"/>
  <c r="AN67" i="5"/>
  <c r="AN35" i="5"/>
  <c r="AQ53" i="5"/>
  <c r="AB71" i="5"/>
  <c r="AC21" i="5"/>
  <c r="AO68" i="5"/>
  <c r="AB70" i="5"/>
  <c r="AN16" i="5"/>
  <c r="AB20" i="5"/>
  <c r="AQ44" i="5"/>
  <c r="AQ59" i="5"/>
  <c r="AN18" i="5"/>
  <c r="AQ42" i="5"/>
  <c r="AO66" i="5"/>
  <c r="AN68" i="5"/>
  <c r="AL64" i="5"/>
  <c r="AI16" i="5"/>
  <c r="AL16" i="5" s="1"/>
  <c r="AI21" i="5"/>
  <c r="AL21" i="5" s="1"/>
  <c r="AO61" i="5"/>
  <c r="AN66" i="5"/>
  <c r="AB40" i="5"/>
  <c r="AB47" i="5"/>
  <c r="AO14" i="5"/>
  <c r="AQ55" i="5"/>
  <c r="AQ41" i="5"/>
  <c r="AB68" i="5"/>
  <c r="AO44" i="5"/>
  <c r="AN20" i="5"/>
  <c r="AQ51" i="5"/>
  <c r="AN61" i="5"/>
  <c r="AB69" i="5"/>
  <c r="AN17" i="5"/>
  <c r="AO65" i="5"/>
  <c r="AB48" i="5"/>
  <c r="AO54" i="5"/>
  <c r="AO58" i="5"/>
  <c r="AL36" i="5"/>
  <c r="AB39" i="5"/>
  <c r="AN51" i="5"/>
  <c r="AO51" i="5"/>
  <c r="AL40" i="5"/>
  <c r="AN43" i="5"/>
  <c r="AQ58" i="5"/>
  <c r="AN36" i="5"/>
  <c r="AT43" i="5"/>
  <c r="AB49" i="5"/>
  <c r="AQ37" i="5"/>
  <c r="AI19" i="5"/>
  <c r="AL19" i="5" s="1"/>
  <c r="AQ60" i="5"/>
  <c r="AN64" i="5"/>
  <c r="AO42" i="5"/>
  <c r="AQ15" i="5"/>
  <c r="AI17" i="5"/>
  <c r="AL17" i="5" s="1"/>
  <c r="AO36" i="5"/>
  <c r="AB42" i="5"/>
  <c r="AO43" i="5"/>
  <c r="AU44" i="5"/>
  <c r="AQ47" i="5"/>
  <c r="AC54" i="5"/>
  <c r="AO59" i="5"/>
  <c r="AB21" i="5"/>
  <c r="AQ36" i="5"/>
  <c r="AC42" i="5"/>
  <c r="AQ43" i="5"/>
  <c r="AO45" i="5"/>
  <c r="AN50" i="5"/>
  <c r="AQ52" i="5"/>
  <c r="AN62" i="5"/>
  <c r="AO57" i="5"/>
  <c r="AL35" i="5"/>
  <c r="AC40" i="5"/>
  <c r="AC45" i="5"/>
  <c r="AO60" i="5"/>
  <c r="AI14" i="5"/>
  <c r="AL14" i="5" s="1"/>
  <c r="AN42" i="5"/>
  <c r="AQ48" i="5"/>
  <c r="AO50" i="5"/>
  <c r="AB55" i="5"/>
  <c r="AO62" i="5"/>
  <c r="AB54" i="5"/>
  <c r="AI22" i="5"/>
  <c r="AL22" i="5" s="1"/>
  <c r="AN53" i="5"/>
  <c r="AB58" i="5"/>
  <c r="AQ61" i="5"/>
  <c r="AN63" i="5"/>
  <c r="AB67" i="5"/>
  <c r="AN45" i="5"/>
  <c r="AL67" i="5"/>
  <c r="AC22" i="5"/>
  <c r="AQ38" i="5"/>
  <c r="AQ45" i="5"/>
  <c r="AB51" i="5"/>
  <c r="AB61" i="5"/>
  <c r="AL63" i="5"/>
  <c r="AQ17" i="5"/>
  <c r="AB36" i="5"/>
  <c r="AB43" i="5"/>
  <c r="AB56" i="5"/>
  <c r="AN58" i="5"/>
  <c r="AC61" i="5"/>
  <c r="AC39" i="5"/>
  <c r="AC20" i="5"/>
  <c r="AN39" i="5"/>
  <c r="AN41" i="5"/>
  <c r="AN44" i="5"/>
  <c r="AQ46" i="5"/>
  <c r="AQ54" i="5"/>
  <c r="AB64" i="5"/>
  <c r="AN14" i="5"/>
  <c r="AB19" i="5"/>
  <c r="AN22" i="5"/>
  <c r="AB38" i="5"/>
  <c r="AO41" i="5"/>
  <c r="AT42" i="5"/>
  <c r="AB46" i="5"/>
  <c r="AN49" i="5"/>
  <c r="AQ50" i="5"/>
  <c r="AB53" i="5"/>
  <c r="AN56" i="5"/>
  <c r="AQ57" i="5"/>
  <c r="AQ62" i="5"/>
  <c r="AO67" i="5"/>
  <c r="AC19" i="5"/>
  <c r="AI20" i="5"/>
  <c r="AL20" i="5" s="1"/>
  <c r="AN21" i="5"/>
  <c r="AO22" i="5"/>
  <c r="AB37" i="5"/>
  <c r="AC38" i="5"/>
  <c r="AN40" i="5"/>
  <c r="AC46" i="5"/>
  <c r="AO49" i="5"/>
  <c r="AB52" i="5"/>
  <c r="AC53" i="5"/>
  <c r="AO56" i="5"/>
  <c r="AB59" i="5"/>
  <c r="AB66" i="5"/>
  <c r="AQ14" i="5"/>
  <c r="AO17" i="5"/>
  <c r="AO21" i="5"/>
  <c r="AQ22" i="5"/>
  <c r="AO40" i="5"/>
  <c r="AN48" i="5"/>
  <c r="AQ49" i="5"/>
  <c r="AN55" i="5"/>
  <c r="AQ56" i="5"/>
  <c r="AC59" i="5"/>
  <c r="AN60" i="5"/>
  <c r="AO64" i="5"/>
  <c r="AN13" i="5"/>
  <c r="AQ21" i="5"/>
  <c r="AQ40" i="5"/>
  <c r="AO48" i="5"/>
  <c r="AO55" i="5"/>
  <c r="AO20" i="5"/>
  <c r="AO39" i="5"/>
  <c r="AN47" i="5"/>
  <c r="AN54" i="5"/>
  <c r="AN19" i="5"/>
  <c r="AQ20" i="5"/>
  <c r="AN38" i="5"/>
  <c r="AQ39" i="5"/>
  <c r="AN46" i="5"/>
  <c r="AO47" i="5"/>
  <c r="AB50" i="5"/>
  <c r="AB57" i="5"/>
  <c r="AB62" i="5"/>
  <c r="AO19" i="5"/>
  <c r="AN37" i="5"/>
  <c r="AO38" i="5"/>
  <c r="AB41" i="5"/>
  <c r="AO46" i="5"/>
  <c r="AC50" i="5"/>
  <c r="AN52" i="5"/>
  <c r="AO53" i="5"/>
  <c r="AN59" i="5"/>
  <c r="AC62" i="5"/>
  <c r="AU63" i="5"/>
  <c r="AB65" i="5"/>
  <c r="AL18" i="5"/>
  <c r="AQ19" i="5"/>
  <c r="AB22" i="5"/>
  <c r="AO37" i="5"/>
  <c r="AC41" i="5"/>
  <c r="AO52" i="5"/>
  <c r="AL65" i="5"/>
  <c r="AI15" i="5"/>
  <c r="AL15" i="5" s="1"/>
  <c r="AN65" i="5"/>
  <c r="W63" i="4"/>
  <c r="Z70" i="4"/>
  <c r="AE70" i="4" s="1"/>
  <c r="Z69" i="4"/>
  <c r="Z68" i="4"/>
  <c r="Z67" i="4"/>
  <c r="Z66" i="4"/>
  <c r="Z65" i="4"/>
  <c r="Z64" i="4"/>
  <c r="AQ63" i="4"/>
  <c r="Z63" i="4"/>
  <c r="Z62" i="4"/>
  <c r="W62" i="4"/>
  <c r="AD61" i="4"/>
  <c r="Z61" i="4"/>
  <c r="AP62" i="4" s="1"/>
  <c r="W61" i="4"/>
  <c r="AD60" i="4"/>
  <c r="Z60" i="4"/>
  <c r="W60" i="4"/>
  <c r="AD59" i="4"/>
  <c r="Z59" i="4"/>
  <c r="W59" i="4"/>
  <c r="AD58" i="4"/>
  <c r="Z58" i="4"/>
  <c r="AB58" i="4" s="1"/>
  <c r="W58" i="4"/>
  <c r="AD57" i="4"/>
  <c r="Z57" i="4"/>
  <c r="W57" i="4"/>
  <c r="AD56" i="4"/>
  <c r="Z56" i="4"/>
  <c r="AB56" i="4" s="1"/>
  <c r="W56" i="4"/>
  <c r="AD55" i="4"/>
  <c r="Z55" i="4"/>
  <c r="W55" i="4"/>
  <c r="AD54" i="4"/>
  <c r="Z54" i="4"/>
  <c r="AB54" i="4" s="1"/>
  <c r="W54" i="4"/>
  <c r="AD53" i="4"/>
  <c r="Z53" i="4"/>
  <c r="AB53" i="4" s="1"/>
  <c r="W53" i="4"/>
  <c r="AT52" i="4"/>
  <c r="AD52" i="4"/>
  <c r="Z52" i="4"/>
  <c r="W52" i="4"/>
  <c r="AT51" i="4"/>
  <c r="AD51" i="4"/>
  <c r="Z51" i="4"/>
  <c r="AB51" i="4" s="1"/>
  <c r="W51" i="4"/>
  <c r="AD50" i="4"/>
  <c r="Z50" i="4"/>
  <c r="W50" i="4"/>
  <c r="AD49" i="4"/>
  <c r="Z49" i="4"/>
  <c r="AB49" i="4" s="1"/>
  <c r="W49" i="4"/>
  <c r="AD48" i="4"/>
  <c r="Z48" i="4"/>
  <c r="W48" i="4"/>
  <c r="AD47" i="4"/>
  <c r="Z47" i="4"/>
  <c r="AB47" i="4" s="1"/>
  <c r="W47" i="4"/>
  <c r="AD46" i="4"/>
  <c r="Z46" i="4"/>
  <c r="AB46" i="4" s="1"/>
  <c r="W46" i="4"/>
  <c r="AO45" i="4"/>
  <c r="AD45" i="4"/>
  <c r="Z45" i="4"/>
  <c r="W45" i="4"/>
  <c r="AD44" i="4"/>
  <c r="Z44" i="4"/>
  <c r="AB44" i="4" s="1"/>
  <c r="W44" i="4"/>
  <c r="AD43" i="4"/>
  <c r="Z43" i="4"/>
  <c r="W43" i="4"/>
  <c r="AP42" i="4"/>
  <c r="AD42" i="4"/>
  <c r="Z42" i="4"/>
  <c r="W42" i="4"/>
  <c r="AD41" i="4"/>
  <c r="Z41" i="4"/>
  <c r="AB41" i="4" s="1"/>
  <c r="W41" i="4"/>
  <c r="AD40" i="4"/>
  <c r="Z40" i="4"/>
  <c r="AO41" i="4" s="1"/>
  <c r="W40" i="4"/>
  <c r="AD39" i="4"/>
  <c r="Z39" i="4"/>
  <c r="W39" i="4"/>
  <c r="AD38" i="4"/>
  <c r="Z38" i="4"/>
  <c r="AB38" i="4" s="1"/>
  <c r="W38" i="4"/>
  <c r="AD37" i="4"/>
  <c r="Z37" i="4"/>
  <c r="AB37" i="4" s="1"/>
  <c r="W37" i="4"/>
  <c r="AP36" i="4"/>
  <c r="AD36" i="4"/>
  <c r="Z36" i="4"/>
  <c r="W36" i="4"/>
  <c r="AD35" i="4"/>
  <c r="Z35" i="4"/>
  <c r="AB35" i="4" s="1"/>
  <c r="W35" i="4"/>
  <c r="M35" i="4"/>
  <c r="AD34" i="4"/>
  <c r="Z34" i="4"/>
  <c r="W34" i="4"/>
  <c r="AD21" i="4"/>
  <c r="Z21" i="4"/>
  <c r="AO21" i="4" s="1"/>
  <c r="W21" i="4"/>
  <c r="AD20" i="4"/>
  <c r="Z20" i="4"/>
  <c r="AB20" i="4" s="1"/>
  <c r="W20" i="4"/>
  <c r="AD19" i="4"/>
  <c r="Z19" i="4"/>
  <c r="W19" i="4"/>
  <c r="AD18" i="4"/>
  <c r="Z18" i="4"/>
  <c r="W18" i="4"/>
  <c r="AD17" i="4"/>
  <c r="Z17" i="4"/>
  <c r="W17" i="4"/>
  <c r="AD16" i="4"/>
  <c r="Z16" i="4"/>
  <c r="AB16" i="4" s="1"/>
  <c r="AD15" i="4"/>
  <c r="Z15" i="4"/>
  <c r="W15" i="4"/>
  <c r="AD14" i="4"/>
  <c r="AB14" i="4"/>
  <c r="Z14" i="4"/>
  <c r="AM14" i="4" s="1"/>
  <c r="Z13" i="4"/>
  <c r="W13" i="4"/>
  <c r="AH12" i="4"/>
  <c r="AD12" i="4"/>
  <c r="Z12" i="4"/>
  <c r="W12" i="4"/>
  <c r="AI11" i="4"/>
  <c r="M11" i="4"/>
  <c r="L11" i="4"/>
  <c r="K11" i="4"/>
  <c r="J11" i="4"/>
  <c r="I11" i="4"/>
  <c r="H11" i="4"/>
  <c r="G11" i="4"/>
  <c r="F11" i="4"/>
  <c r="E11" i="4"/>
  <c r="D11" i="4"/>
  <c r="Z58" i="3"/>
  <c r="W58" i="3"/>
  <c r="Z57" i="3"/>
  <c r="W57" i="3"/>
  <c r="Z56" i="3"/>
  <c r="W56" i="3"/>
  <c r="Z55" i="3"/>
  <c r="W55" i="3"/>
  <c r="Z54" i="3"/>
  <c r="W54" i="3"/>
  <c r="Z53" i="3"/>
  <c r="W53" i="3"/>
  <c r="Z52" i="3"/>
  <c r="W52" i="3"/>
  <c r="AQ51" i="3"/>
  <c r="Z51" i="3"/>
  <c r="W51" i="3"/>
  <c r="Z50" i="3"/>
  <c r="W50" i="3"/>
  <c r="AD49" i="3"/>
  <c r="Z49" i="3"/>
  <c r="AP50" i="3" s="1"/>
  <c r="W49" i="3"/>
  <c r="AD48" i="3"/>
  <c r="Z48" i="3"/>
  <c r="AB48" i="3" s="1"/>
  <c r="W48" i="3"/>
  <c r="AD47" i="3"/>
  <c r="Z47" i="3"/>
  <c r="W47" i="3"/>
  <c r="AJ47" i="3" s="1"/>
  <c r="AD46" i="3"/>
  <c r="Z46" i="3"/>
  <c r="AB46" i="3" s="1"/>
  <c r="W46" i="3"/>
  <c r="AK46" i="3" s="1"/>
  <c r="AD45" i="3"/>
  <c r="Z45" i="3"/>
  <c r="AB45" i="3" s="1"/>
  <c r="W45" i="3"/>
  <c r="AD44" i="3"/>
  <c r="Z44" i="3"/>
  <c r="AB44" i="3" s="1"/>
  <c r="W44" i="3"/>
  <c r="AD43" i="3"/>
  <c r="Z43" i="3"/>
  <c r="AB43" i="3" s="1"/>
  <c r="W43" i="3"/>
  <c r="AD42" i="3"/>
  <c r="Z42" i="3"/>
  <c r="AB42" i="3" s="1"/>
  <c r="W42" i="3"/>
  <c r="AD41" i="3"/>
  <c r="Z41" i="3"/>
  <c r="AB41" i="3" s="1"/>
  <c r="W41" i="3"/>
  <c r="AT40" i="3"/>
  <c r="AD40" i="3"/>
  <c r="Z40" i="3"/>
  <c r="W40" i="3"/>
  <c r="AE40" i="3" s="1"/>
  <c r="AH40" i="3" s="1"/>
  <c r="AT39" i="3"/>
  <c r="AD39" i="3"/>
  <c r="Z39" i="3"/>
  <c r="AB39" i="3" s="1"/>
  <c r="W39" i="3"/>
  <c r="AD38" i="3"/>
  <c r="Z38" i="3"/>
  <c r="AB38" i="3" s="1"/>
  <c r="W38" i="3"/>
  <c r="AM38" i="3" s="1"/>
  <c r="AD37" i="3"/>
  <c r="Z37" i="3"/>
  <c r="AB37" i="3" s="1"/>
  <c r="W37" i="3"/>
  <c r="AD36" i="3"/>
  <c r="Z36" i="3"/>
  <c r="AB36" i="3" s="1"/>
  <c r="W36" i="3"/>
  <c r="AD35" i="3"/>
  <c r="Z35" i="3"/>
  <c r="AB35" i="3" s="1"/>
  <c r="W35" i="3"/>
  <c r="AD34" i="3"/>
  <c r="Z34" i="3"/>
  <c r="AB34" i="3" s="1"/>
  <c r="W34" i="3"/>
  <c r="AO33" i="3"/>
  <c r="AD33" i="3"/>
  <c r="Z33" i="3"/>
  <c r="W33" i="3"/>
  <c r="AD32" i="3"/>
  <c r="Z32" i="3"/>
  <c r="W32" i="3"/>
  <c r="AJ32" i="3" s="1"/>
  <c r="AD31" i="3"/>
  <c r="Z31" i="3"/>
  <c r="AB31" i="3" s="1"/>
  <c r="W31" i="3"/>
  <c r="AP30" i="3"/>
  <c r="AD30" i="3"/>
  <c r="Z30" i="3"/>
  <c r="AP31" i="3" s="1"/>
  <c r="W30" i="3"/>
  <c r="AD29" i="3"/>
  <c r="Z29" i="3"/>
  <c r="W29" i="3"/>
  <c r="AD28" i="3"/>
  <c r="Z28" i="3"/>
  <c r="W28" i="3"/>
  <c r="Z27" i="3"/>
  <c r="AD27" i="3"/>
  <c r="W27" i="3"/>
  <c r="AD26" i="3"/>
  <c r="Z26" i="3"/>
  <c r="AB26" i="3" s="1"/>
  <c r="W26" i="3"/>
  <c r="AD25" i="3"/>
  <c r="Z25" i="3"/>
  <c r="AB25" i="3" s="1"/>
  <c r="W25" i="3"/>
  <c r="AP24" i="3"/>
  <c r="AD24" i="3"/>
  <c r="Z24" i="3"/>
  <c r="W24" i="3"/>
  <c r="AM24" i="3" s="1"/>
  <c r="AD23" i="3"/>
  <c r="Z23" i="3"/>
  <c r="W23" i="3"/>
  <c r="M23" i="3"/>
  <c r="M11" i="3" s="1"/>
  <c r="AD22" i="3"/>
  <c r="Z22" i="3"/>
  <c r="W22" i="3"/>
  <c r="AD21" i="3"/>
  <c r="Z21" i="3"/>
  <c r="W21" i="3"/>
  <c r="AD20" i="3"/>
  <c r="Z20" i="3"/>
  <c r="AB20" i="3" s="1"/>
  <c r="W20" i="3"/>
  <c r="AD19" i="3"/>
  <c r="Z19" i="3"/>
  <c r="W19" i="3"/>
  <c r="AD18" i="3"/>
  <c r="Z18" i="3"/>
  <c r="AB18" i="3" s="1"/>
  <c r="W18" i="3"/>
  <c r="AD17" i="3"/>
  <c r="Z17" i="3"/>
  <c r="W17" i="3"/>
  <c r="AD16" i="3"/>
  <c r="Z16" i="3"/>
  <c r="AB16" i="3" s="1"/>
  <c r="W16" i="3"/>
  <c r="AD15" i="3"/>
  <c r="Z15" i="3"/>
  <c r="W15" i="3"/>
  <c r="AD14" i="3"/>
  <c r="AB14" i="3"/>
  <c r="Z14" i="3"/>
  <c r="AE14" i="3" s="1"/>
  <c r="AH14" i="3" s="1"/>
  <c r="AD13" i="3"/>
  <c r="Z13" i="3"/>
  <c r="W13" i="3"/>
  <c r="AH12" i="3"/>
  <c r="AD12" i="3"/>
  <c r="Z12" i="3"/>
  <c r="W12" i="3"/>
  <c r="AI11" i="3"/>
  <c r="AC11" i="3"/>
  <c r="Y11" i="3"/>
  <c r="P11" i="3"/>
  <c r="O11" i="3"/>
  <c r="N11" i="3"/>
  <c r="L11" i="3"/>
  <c r="K11" i="3"/>
  <c r="J11" i="3"/>
  <c r="I11" i="3"/>
  <c r="H11" i="3"/>
  <c r="G11" i="3"/>
  <c r="F11" i="3"/>
  <c r="E11" i="3"/>
  <c r="D11" i="3"/>
  <c r="AY12" i="5" l="1"/>
  <c r="AK16" i="3"/>
  <c r="AB12" i="5"/>
  <c r="AJ12" i="5" s="1"/>
  <c r="AW12" i="5"/>
  <c r="AW13" i="5" s="1"/>
  <c r="AJ50" i="3"/>
  <c r="AA31" i="3"/>
  <c r="AK47" i="3"/>
  <c r="AY13" i="5"/>
  <c r="W11" i="3"/>
  <c r="AK18" i="3"/>
  <c r="AJ22" i="3"/>
  <c r="AE33" i="3"/>
  <c r="AH33" i="3" s="1"/>
  <c r="AM36" i="3"/>
  <c r="AM45" i="3"/>
  <c r="AL12" i="5"/>
  <c r="AT12" i="5"/>
  <c r="AO12" i="5"/>
  <c r="AT9" i="5"/>
  <c r="AK12" i="5"/>
  <c r="AT13" i="5"/>
  <c r="AN12" i="5"/>
  <c r="AU12" i="5"/>
  <c r="AT14" i="5"/>
  <c r="AA63" i="4"/>
  <c r="AI12" i="5"/>
  <c r="AQ12" i="5"/>
  <c r="W11" i="4"/>
  <c r="AB13" i="4"/>
  <c r="Z11" i="4"/>
  <c r="AD11" i="4"/>
  <c r="AJ38" i="4"/>
  <c r="AM46" i="4"/>
  <c r="AE59" i="4"/>
  <c r="AH59" i="4" s="1"/>
  <c r="AM60" i="4"/>
  <c r="AM54" i="4"/>
  <c r="AM58" i="4"/>
  <c r="AE36" i="4"/>
  <c r="AH36" i="4" s="1"/>
  <c r="AE37" i="4"/>
  <c r="AH37" i="4" s="1"/>
  <c r="AJ45" i="4"/>
  <c r="AJ39" i="4"/>
  <c r="AM13" i="4"/>
  <c r="AJ36" i="4"/>
  <c r="AK21" i="4"/>
  <c r="AM36" i="4"/>
  <c r="AE15" i="4"/>
  <c r="AH15" i="4" s="1"/>
  <c r="AK16" i="4"/>
  <c r="AJ46" i="4"/>
  <c r="AM18" i="4"/>
  <c r="AK55" i="4"/>
  <c r="AE58" i="4"/>
  <c r="AH58" i="4" s="1"/>
  <c r="AM52" i="4"/>
  <c r="AJ58" i="4"/>
  <c r="AJ17" i="4"/>
  <c r="AM21" i="4"/>
  <c r="AA36" i="4"/>
  <c r="AE50" i="4"/>
  <c r="AH50" i="4" s="1"/>
  <c r="AB55" i="4"/>
  <c r="AJ52" i="4"/>
  <c r="AK38" i="4"/>
  <c r="AM55" i="4"/>
  <c r="AK58" i="4"/>
  <c r="AK18" i="4"/>
  <c r="AA50" i="4"/>
  <c r="AE44" i="4"/>
  <c r="AH44" i="4" s="1"/>
  <c r="AA51" i="4"/>
  <c r="AM19" i="4"/>
  <c r="AK60" i="4"/>
  <c r="AJ12" i="4"/>
  <c r="AM35" i="4"/>
  <c r="AM45" i="4"/>
  <c r="AJ48" i="4"/>
  <c r="AK53" i="4"/>
  <c r="AM42" i="4"/>
  <c r="AM61" i="4"/>
  <c r="AK66" i="4"/>
  <c r="AE19" i="4"/>
  <c r="AH19" i="4" s="1"/>
  <c r="AK36" i="4"/>
  <c r="AE53" i="4"/>
  <c r="AH53" i="4" s="1"/>
  <c r="AA18" i="4"/>
  <c r="AJ19" i="4"/>
  <c r="AE45" i="4"/>
  <c r="AH45" i="4" s="1"/>
  <c r="AJ53" i="4"/>
  <c r="AK67" i="4"/>
  <c r="AB18" i="4"/>
  <c r="AK19" i="4"/>
  <c r="AK45" i="4"/>
  <c r="AM53" i="4"/>
  <c r="AE62" i="4"/>
  <c r="AH62" i="4" s="1"/>
  <c r="AE43" i="4"/>
  <c r="AH43" i="4" s="1"/>
  <c r="AQ62" i="4"/>
  <c r="AA68" i="4"/>
  <c r="AE18" i="4"/>
  <c r="AH18" i="4" s="1"/>
  <c r="AA40" i="4"/>
  <c r="AA43" i="4"/>
  <c r="AE69" i="4"/>
  <c r="AB40" i="4"/>
  <c r="AK46" i="4"/>
  <c r="AK13" i="4"/>
  <c r="AJ16" i="4"/>
  <c r="AJ18" i="4"/>
  <c r="AM16" i="4"/>
  <c r="AA58" i="4"/>
  <c r="AB60" i="4"/>
  <c r="AE64" i="4"/>
  <c r="AH64" i="4" s="1"/>
  <c r="AB36" i="4"/>
  <c r="AA44" i="4"/>
  <c r="AE46" i="4"/>
  <c r="AH46" i="4" s="1"/>
  <c r="AA55" i="4"/>
  <c r="AE65" i="4"/>
  <c r="AH65" i="4" s="1"/>
  <c r="AK39" i="4"/>
  <c r="AJ15" i="4"/>
  <c r="AJ37" i="4"/>
  <c r="AM40" i="4"/>
  <c r="AJ44" i="4"/>
  <c r="AJ55" i="4"/>
  <c r="AJ59" i="4"/>
  <c r="AJ62" i="4"/>
  <c r="AJ65" i="4"/>
  <c r="AA35" i="4"/>
  <c r="AP20" i="4"/>
  <c r="AK37" i="4"/>
  <c r="AM43" i="4"/>
  <c r="AK44" i="4"/>
  <c r="AM48" i="4"/>
  <c r="AE51" i="4"/>
  <c r="AH51" i="4" s="1"/>
  <c r="AK59" i="4"/>
  <c r="AJ66" i="4"/>
  <c r="AJ34" i="4"/>
  <c r="AM37" i="4"/>
  <c r="AM44" i="4"/>
  <c r="AM49" i="4"/>
  <c r="AJ51" i="4"/>
  <c r="AM59" i="4"/>
  <c r="AA69" i="4"/>
  <c r="AM38" i="4"/>
  <c r="AK51" i="4"/>
  <c r="AK63" i="4"/>
  <c r="AJ67" i="4"/>
  <c r="AM51" i="4"/>
  <c r="AM20" i="4"/>
  <c r="AM41" i="4"/>
  <c r="AM47" i="4"/>
  <c r="AM50" i="4"/>
  <c r="AA60" i="4"/>
  <c r="AE68" i="4"/>
  <c r="AM56" i="4"/>
  <c r="AA64" i="4"/>
  <c r="AJ20" i="4"/>
  <c r="AK47" i="4"/>
  <c r="AE42" i="4"/>
  <c r="AH42" i="4" s="1"/>
  <c r="AE52" i="4"/>
  <c r="AH52" i="4" s="1"/>
  <c r="AE35" i="4"/>
  <c r="AH35" i="4" s="1"/>
  <c r="AA42" i="4"/>
  <c r="AK48" i="4"/>
  <c r="AK52" i="4"/>
  <c r="AE57" i="4"/>
  <c r="AH57" i="4" s="1"/>
  <c r="AK65" i="4"/>
  <c r="AA70" i="4"/>
  <c r="AB19" i="4"/>
  <c r="AM39" i="4"/>
  <c r="AA48" i="4"/>
  <c r="AK54" i="4"/>
  <c r="AA57" i="4"/>
  <c r="AA14" i="4"/>
  <c r="AE41" i="4"/>
  <c r="AH41" i="4" s="1"/>
  <c r="AJ35" i="4"/>
  <c r="AA39" i="4"/>
  <c r="AJ42" i="4"/>
  <c r="AJ43" i="4"/>
  <c r="AB48" i="4"/>
  <c r="AE49" i="4"/>
  <c r="AH49" i="4" s="1"/>
  <c r="AJ50" i="4"/>
  <c r="AE56" i="4"/>
  <c r="AH56" i="4" s="1"/>
  <c r="AJ57" i="4"/>
  <c r="AE61" i="4"/>
  <c r="AH61" i="4" s="1"/>
  <c r="AA66" i="4"/>
  <c r="AA13" i="4"/>
  <c r="AE17" i="4"/>
  <c r="AH17" i="4" s="1"/>
  <c r="AA21" i="4"/>
  <c r="AE34" i="4"/>
  <c r="AH34" i="4" s="1"/>
  <c r="AK35" i="4"/>
  <c r="AB39" i="4"/>
  <c r="AE40" i="4"/>
  <c r="AH40" i="4" s="1"/>
  <c r="AJ41" i="4"/>
  <c r="AK42" i="4"/>
  <c r="AK43" i="4"/>
  <c r="AA47" i="4"/>
  <c r="AK50" i="4"/>
  <c r="AA54" i="4"/>
  <c r="AK57" i="4"/>
  <c r="AJ64" i="4"/>
  <c r="AE66" i="4"/>
  <c r="AH66" i="4" s="1"/>
  <c r="AE14" i="4"/>
  <c r="AH14" i="4" s="1"/>
  <c r="AA20" i="4"/>
  <c r="AB21" i="4"/>
  <c r="AA38" i="4"/>
  <c r="AK41" i="4"/>
  <c r="AE48" i="4"/>
  <c r="AH48" i="4" s="1"/>
  <c r="AJ49" i="4"/>
  <c r="AE55" i="4"/>
  <c r="AH55" i="4" s="1"/>
  <c r="AJ56" i="4"/>
  <c r="AM57" i="4"/>
  <c r="AE60" i="4"/>
  <c r="AH60" i="4" s="1"/>
  <c r="AJ61" i="4"/>
  <c r="AK64" i="4"/>
  <c r="AE39" i="4"/>
  <c r="AH39" i="4" s="1"/>
  <c r="AJ40" i="4"/>
  <c r="AO42" i="4"/>
  <c r="AP43" i="4"/>
  <c r="AA46" i="4"/>
  <c r="AK49" i="4"/>
  <c r="AA53" i="4"/>
  <c r="AK56" i="4"/>
  <c r="AK61" i="4"/>
  <c r="AE63" i="4"/>
  <c r="AH63" i="4" s="1"/>
  <c r="AE13" i="4"/>
  <c r="AH13" i="4" s="1"/>
  <c r="AJ14" i="4"/>
  <c r="AA19" i="4"/>
  <c r="AE21" i="4"/>
  <c r="AH21" i="4" s="1"/>
  <c r="AA37" i="4"/>
  <c r="AK40" i="4"/>
  <c r="AA45" i="4"/>
  <c r="AE47" i="4"/>
  <c r="AH47" i="4" s="1"/>
  <c r="AA52" i="4"/>
  <c r="AE54" i="4"/>
  <c r="AH54" i="4" s="1"/>
  <c r="AJ60" i="4"/>
  <c r="AE16" i="4"/>
  <c r="AH16" i="4" s="1"/>
  <c r="AE20" i="4"/>
  <c r="AH20" i="4" s="1"/>
  <c r="AE38" i="4"/>
  <c r="AH38" i="4" s="1"/>
  <c r="AB45" i="4"/>
  <c r="AB52" i="4"/>
  <c r="AJ63" i="4"/>
  <c r="AA65" i="4"/>
  <c r="AJ13" i="4"/>
  <c r="AJ21" i="4"/>
  <c r="AJ47" i="4"/>
  <c r="AJ54" i="4"/>
  <c r="AA67" i="4"/>
  <c r="AK20" i="4"/>
  <c r="AA41" i="4"/>
  <c r="AB42" i="4"/>
  <c r="AB43" i="4"/>
  <c r="AB50" i="4"/>
  <c r="AB57" i="4"/>
  <c r="AE67" i="4"/>
  <c r="AA49" i="4"/>
  <c r="AA56" i="4"/>
  <c r="AA61" i="4"/>
  <c r="AB61" i="4"/>
  <c r="AA45" i="3"/>
  <c r="AA23" i="3"/>
  <c r="AM33" i="3"/>
  <c r="AK55" i="3"/>
  <c r="AE24" i="3"/>
  <c r="AH24" i="3" s="1"/>
  <c r="AM27" i="3"/>
  <c r="AM40" i="3"/>
  <c r="AA43" i="3"/>
  <c r="AE50" i="3"/>
  <c r="AH50" i="3" s="1"/>
  <c r="AB19" i="3"/>
  <c r="AK51" i="3"/>
  <c r="AA38" i="3"/>
  <c r="AD11" i="3"/>
  <c r="AM21" i="3"/>
  <c r="AA28" i="3"/>
  <c r="AA34" i="3"/>
  <c r="AM29" i="3"/>
  <c r="AA32" i="3"/>
  <c r="AK44" i="3"/>
  <c r="AK52" i="3"/>
  <c r="AK49" i="3"/>
  <c r="AE52" i="3"/>
  <c r="AH52" i="3" s="1"/>
  <c r="AJ55" i="3"/>
  <c r="AE57" i="3"/>
  <c r="Z11" i="3"/>
  <c r="AK11" i="3" s="1"/>
  <c r="AJ23" i="3"/>
  <c r="AA19" i="3"/>
  <c r="AQ50" i="3"/>
  <c r="AM48" i="3"/>
  <c r="AB28" i="3"/>
  <c r="AK26" i="3"/>
  <c r="AO30" i="3"/>
  <c r="AA25" i="3"/>
  <c r="AA30" i="3"/>
  <c r="AA41" i="3"/>
  <c r="AM19" i="3"/>
  <c r="AK19" i="3"/>
  <c r="AK20" i="3"/>
  <c r="AB23" i="3"/>
  <c r="AJ28" i="3"/>
  <c r="AB30" i="3"/>
  <c r="AM31" i="3"/>
  <c r="AB32" i="3"/>
  <c r="AM34" i="3"/>
  <c r="AM43" i="3"/>
  <c r="AA55" i="3"/>
  <c r="AJ12" i="3"/>
  <c r="AJ17" i="3"/>
  <c r="AP20" i="3"/>
  <c r="AM25" i="3"/>
  <c r="AM30" i="3"/>
  <c r="AA36" i="3"/>
  <c r="AM41" i="3"/>
  <c r="AA48" i="3"/>
  <c r="AE51" i="3"/>
  <c r="AH51" i="3" s="1"/>
  <c r="AE56" i="3"/>
  <c r="AE58" i="3"/>
  <c r="AK13" i="3"/>
  <c r="AA13" i="3"/>
  <c r="AJ35" i="3"/>
  <c r="AA35" i="3"/>
  <c r="AM35" i="3"/>
  <c r="AE35" i="3"/>
  <c r="AH35" i="3" s="1"/>
  <c r="AJ42" i="3"/>
  <c r="AA42" i="3"/>
  <c r="AM42" i="3"/>
  <c r="AE42" i="3"/>
  <c r="AH42" i="3" s="1"/>
  <c r="AB13" i="3"/>
  <c r="AM13" i="3"/>
  <c r="AJ18" i="3"/>
  <c r="AA18" i="3"/>
  <c r="AM18" i="3"/>
  <c r="AE18" i="3"/>
  <c r="AH18" i="3" s="1"/>
  <c r="AK21" i="3"/>
  <c r="AB21" i="3"/>
  <c r="AJ21" i="3"/>
  <c r="AO21" i="3"/>
  <c r="AA21" i="3"/>
  <c r="AE27" i="3"/>
  <c r="AH27" i="3" s="1"/>
  <c r="AK29" i="3"/>
  <c r="AJ29" i="3"/>
  <c r="AB29" i="3"/>
  <c r="AA29" i="3"/>
  <c r="AJ37" i="3"/>
  <c r="AA37" i="3"/>
  <c r="AM37" i="3"/>
  <c r="AE37" i="3"/>
  <c r="AH37" i="3" s="1"/>
  <c r="AK37" i="3"/>
  <c r="AJ44" i="3"/>
  <c r="AA44" i="3"/>
  <c r="AM44" i="3"/>
  <c r="AE44" i="3"/>
  <c r="AH44" i="3" s="1"/>
  <c r="AA14" i="3"/>
  <c r="AM14" i="3"/>
  <c r="AJ16" i="3"/>
  <c r="AA16" i="3"/>
  <c r="AM16" i="3"/>
  <c r="AE16" i="3"/>
  <c r="AH16" i="3" s="1"/>
  <c r="AJ26" i="3"/>
  <c r="AA26" i="3"/>
  <c r="AM26" i="3"/>
  <c r="AE26" i="3"/>
  <c r="AH26" i="3" s="1"/>
  <c r="AJ27" i="3"/>
  <c r="AK33" i="3"/>
  <c r="AJ33" i="3"/>
  <c r="AB33" i="3"/>
  <c r="AA33" i="3"/>
  <c r="AK40" i="3"/>
  <c r="AJ40" i="3"/>
  <c r="AB40" i="3"/>
  <c r="AA40" i="3"/>
  <c r="AJ46" i="3"/>
  <c r="AA46" i="3"/>
  <c r="AM46" i="3"/>
  <c r="AE46" i="3"/>
  <c r="AH46" i="3" s="1"/>
  <c r="AE53" i="3"/>
  <c r="AH53" i="3" s="1"/>
  <c r="AK53" i="3"/>
  <c r="AA53" i="3"/>
  <c r="AJ53" i="3"/>
  <c r="AE54" i="3"/>
  <c r="AH54" i="3" s="1"/>
  <c r="AK54" i="3"/>
  <c r="AA54" i="3"/>
  <c r="AJ54" i="3"/>
  <c r="AJ13" i="3"/>
  <c r="AK27" i="3"/>
  <c r="AB27" i="3"/>
  <c r="AA27" i="3"/>
  <c r="AJ14" i="3"/>
  <c r="AE13" i="3"/>
  <c r="AH13" i="3" s="1"/>
  <c r="AJ15" i="3"/>
  <c r="AE15" i="3"/>
  <c r="AH15" i="3" s="1"/>
  <c r="AJ20" i="3"/>
  <c r="AA20" i="3"/>
  <c r="AM20" i="3"/>
  <c r="AE20" i="3"/>
  <c r="AH20" i="3" s="1"/>
  <c r="AE21" i="3"/>
  <c r="AH21" i="3" s="1"/>
  <c r="AK24" i="3"/>
  <c r="AJ24" i="3"/>
  <c r="AB24" i="3"/>
  <c r="AA24" i="3"/>
  <c r="AE29" i="3"/>
  <c r="AH29" i="3" s="1"/>
  <c r="AK35" i="3"/>
  <c r="AJ39" i="3"/>
  <c r="AA39" i="3"/>
  <c r="AM39" i="3"/>
  <c r="AE39" i="3"/>
  <c r="AH39" i="3" s="1"/>
  <c r="AK39" i="3"/>
  <c r="AK42" i="3"/>
  <c r="AJ49" i="3"/>
  <c r="AA49" i="3"/>
  <c r="AM49" i="3"/>
  <c r="AE49" i="3"/>
  <c r="AH49" i="3" s="1"/>
  <c r="AE17" i="3"/>
  <c r="AH17" i="3" s="1"/>
  <c r="AJ19" i="3"/>
  <c r="AE22" i="3"/>
  <c r="AH22" i="3" s="1"/>
  <c r="AK23" i="3"/>
  <c r="AJ25" i="3"/>
  <c r="AK28" i="3"/>
  <c r="AO29" i="3"/>
  <c r="AJ30" i="3"/>
  <c r="AJ31" i="3"/>
  <c r="AK32" i="3"/>
  <c r="AJ34" i="3"/>
  <c r="AJ36" i="3"/>
  <c r="AJ38" i="3"/>
  <c r="AJ41" i="3"/>
  <c r="AJ43" i="3"/>
  <c r="AJ45" i="3"/>
  <c r="AE47" i="3"/>
  <c r="AH47" i="3" s="1"/>
  <c r="AM47" i="3"/>
  <c r="AJ48" i="3"/>
  <c r="AE55" i="3"/>
  <c r="AE23" i="3"/>
  <c r="AH23" i="3" s="1"/>
  <c r="AM23" i="3"/>
  <c r="AK25" i="3"/>
  <c r="AE28" i="3"/>
  <c r="AH28" i="3" s="1"/>
  <c r="AM28" i="3"/>
  <c r="AK30" i="3"/>
  <c r="AK31" i="3"/>
  <c r="AE32" i="3"/>
  <c r="AH32" i="3" s="1"/>
  <c r="AM32" i="3"/>
  <c r="AK34" i="3"/>
  <c r="AK36" i="3"/>
  <c r="AK38" i="3"/>
  <c r="AK41" i="3"/>
  <c r="AK43" i="3"/>
  <c r="AK45" i="3"/>
  <c r="AK48" i="3"/>
  <c r="AJ51" i="3"/>
  <c r="AJ52" i="3"/>
  <c r="AA56" i="3"/>
  <c r="AA57" i="3"/>
  <c r="AA58" i="3"/>
  <c r="AE19" i="3"/>
  <c r="AH19" i="3" s="1"/>
  <c r="AE25" i="3"/>
  <c r="AH25" i="3" s="1"/>
  <c r="AE30" i="3"/>
  <c r="AH30" i="3" s="1"/>
  <c r="AE31" i="3"/>
  <c r="AH31" i="3" s="1"/>
  <c r="AE34" i="3"/>
  <c r="AH34" i="3" s="1"/>
  <c r="AE36" i="3"/>
  <c r="AH36" i="3" s="1"/>
  <c r="AE38" i="3"/>
  <c r="AH38" i="3" s="1"/>
  <c r="AE41" i="3"/>
  <c r="AH41" i="3" s="1"/>
  <c r="AE43" i="3"/>
  <c r="AH43" i="3" s="1"/>
  <c r="AE45" i="3"/>
  <c r="AH45" i="3" s="1"/>
  <c r="AE48" i="3"/>
  <c r="AH48" i="3" s="1"/>
  <c r="AB49" i="3"/>
  <c r="AA51" i="3"/>
  <c r="AA52" i="3"/>
  <c r="AB11" i="4" l="1"/>
  <c r="AA11" i="4"/>
  <c r="AF11" i="4" s="1"/>
  <c r="AE11" i="4"/>
  <c r="AM11" i="4"/>
  <c r="AO12" i="4"/>
  <c r="AO13" i="4"/>
  <c r="AH11" i="4"/>
  <c r="AP11" i="4"/>
  <c r="AG11" i="4"/>
  <c r="AO9" i="4"/>
  <c r="AK11" i="4"/>
  <c r="AO11" i="4"/>
  <c r="AJ11" i="4"/>
  <c r="AJ11" i="3"/>
  <c r="AA11" i="3"/>
  <c r="AF11" i="3" s="1"/>
  <c r="AO9" i="3"/>
  <c r="AP11" i="3"/>
  <c r="AO12" i="3"/>
  <c r="AE11" i="3"/>
  <c r="AB11" i="3"/>
  <c r="AG11" i="3" s="1"/>
  <c r="AO13" i="3"/>
  <c r="AO11" i="3"/>
  <c r="AH11" i="3"/>
  <c r="AM11" i="3"/>
  <c r="AL79" i="1" l="1"/>
  <c r="AA79" i="1" l="1"/>
  <c r="AB79" i="1"/>
  <c r="Z45" i="1"/>
  <c r="AB45" i="1" s="1"/>
  <c r="Z42" i="1"/>
  <c r="AB42" i="1" s="1"/>
  <c r="Z44" i="1"/>
  <c r="AB44" i="1" s="1"/>
  <c r="AB17" i="1" l="1"/>
  <c r="N11" i="1" l="1"/>
  <c r="Y11" i="1" l="1"/>
  <c r="O11" i="1" l="1"/>
  <c r="W21" i="1"/>
  <c r="W16" i="1"/>
  <c r="W18" i="1"/>
  <c r="W19" i="1"/>
  <c r="W20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AL41" i="1" s="1"/>
  <c r="W42" i="1"/>
  <c r="AL42" i="1" s="1"/>
  <c r="W43" i="1"/>
  <c r="W44" i="1"/>
  <c r="W45" i="1"/>
  <c r="AL45" i="1" s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15" i="1"/>
  <c r="AL44" i="1" l="1"/>
  <c r="AA44" i="1"/>
  <c r="AH11" i="1" l="1"/>
  <c r="AN54" i="1"/>
  <c r="AJ19" i="1" l="1"/>
  <c r="AJ21" i="1"/>
  <c r="Z52" i="1" l="1"/>
  <c r="AO45" i="1"/>
  <c r="AB52" i="1" l="1"/>
  <c r="AL52" i="1"/>
  <c r="AC11" i="1"/>
  <c r="AO51" i="1" l="1"/>
  <c r="AP73" i="1"/>
  <c r="AG12" i="1" l="1"/>
  <c r="AG13" i="1" l="1"/>
  <c r="AG14" i="1"/>
  <c r="AG15" i="1"/>
  <c r="AD78" i="1"/>
  <c r="Z76" i="1"/>
  <c r="AI76" i="1" s="1"/>
  <c r="Z75" i="1"/>
  <c r="Z74" i="1"/>
  <c r="AI74" i="1" s="1"/>
  <c r="Z73" i="1"/>
  <c r="Z72" i="1"/>
  <c r="AI72" i="1" s="1"/>
  <c r="Z71" i="1"/>
  <c r="AL71" i="1" s="1"/>
  <c r="Z70" i="1"/>
  <c r="Z69" i="1"/>
  <c r="Z68" i="1"/>
  <c r="Z67" i="1"/>
  <c r="Z66" i="1"/>
  <c r="Z65" i="1"/>
  <c r="AL65" i="1" s="1"/>
  <c r="Z64" i="1"/>
  <c r="Z63" i="1"/>
  <c r="AL63" i="1" s="1"/>
  <c r="Z62" i="1"/>
  <c r="Z61" i="1"/>
  <c r="AL61" i="1" s="1"/>
  <c r="Z60" i="1"/>
  <c r="Z59" i="1"/>
  <c r="AL59" i="1" s="1"/>
  <c r="Z58" i="1"/>
  <c r="Z57" i="1"/>
  <c r="AL57" i="1" s="1"/>
  <c r="Z56" i="1"/>
  <c r="Z55" i="1"/>
  <c r="AL55" i="1" s="1"/>
  <c r="Z54" i="1"/>
  <c r="Z53" i="1"/>
  <c r="Z51" i="1"/>
  <c r="Z50" i="1"/>
  <c r="Z49" i="1"/>
  <c r="Z48" i="1"/>
  <c r="Z47" i="1"/>
  <c r="Z46" i="1"/>
  <c r="AI44" i="1"/>
  <c r="M44" i="1"/>
  <c r="M11" i="1" s="1"/>
  <c r="Z43" i="1"/>
  <c r="Z40" i="1"/>
  <c r="Z39" i="1"/>
  <c r="AL39" i="1" s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AL22" i="1" s="1"/>
  <c r="Z21" i="1"/>
  <c r="Z20" i="1"/>
  <c r="Z19" i="1"/>
  <c r="Z18" i="1"/>
  <c r="Z17" i="1"/>
  <c r="AA17" i="1" s="1"/>
  <c r="Z16" i="1"/>
  <c r="AL16" i="1" s="1"/>
  <c r="Z15" i="1"/>
  <c r="Z14" i="1"/>
  <c r="W14" i="1"/>
  <c r="Z13" i="1"/>
  <c r="W13" i="1"/>
  <c r="Z12" i="1"/>
  <c r="L11" i="1"/>
  <c r="K11" i="1"/>
  <c r="J11" i="1"/>
  <c r="I11" i="1"/>
  <c r="H11" i="1"/>
  <c r="G11" i="1"/>
  <c r="F11" i="1"/>
  <c r="E11" i="1"/>
  <c r="D11" i="1"/>
  <c r="AI69" i="1" l="1"/>
  <c r="AL69" i="1"/>
  <c r="AB23" i="1"/>
  <c r="AL23" i="1"/>
  <c r="Z11" i="1"/>
  <c r="AB11" i="1" s="1"/>
  <c r="AB49" i="1"/>
  <c r="AL49" i="1"/>
  <c r="AB54" i="1"/>
  <c r="AL54" i="1"/>
  <c r="AI58" i="1"/>
  <c r="AL58" i="1"/>
  <c r="AI62" i="1"/>
  <c r="AL62" i="1"/>
  <c r="AI66" i="1"/>
  <c r="AL66" i="1"/>
  <c r="AI70" i="1"/>
  <c r="AL70" i="1"/>
  <c r="AL20" i="1"/>
  <c r="AJ40" i="1"/>
  <c r="AL40" i="1"/>
  <c r="AI46" i="1"/>
  <c r="AB46" i="1"/>
  <c r="AL46" i="1"/>
  <c r="AB50" i="1"/>
  <c r="AL50" i="1"/>
  <c r="AI67" i="1"/>
  <c r="AL67" i="1"/>
  <c r="AI48" i="1"/>
  <c r="AB48" i="1"/>
  <c r="AL48" i="1"/>
  <c r="AB53" i="1"/>
  <c r="AL53" i="1"/>
  <c r="AB19" i="1"/>
  <c r="AA19" i="1"/>
  <c r="AL19" i="1"/>
  <c r="AL17" i="1"/>
  <c r="AB21" i="1"/>
  <c r="AA21" i="1"/>
  <c r="AL21" i="1"/>
  <c r="AB47" i="1"/>
  <c r="AL47" i="1"/>
  <c r="AB51" i="1"/>
  <c r="AL51" i="1"/>
  <c r="AI56" i="1"/>
  <c r="AL56" i="1"/>
  <c r="AI60" i="1"/>
  <c r="AL60" i="1"/>
  <c r="AI64" i="1"/>
  <c r="AL64" i="1"/>
  <c r="AI68" i="1"/>
  <c r="AL68" i="1"/>
  <c r="AI71" i="1"/>
  <c r="AJ16" i="1"/>
  <c r="AD79" i="1"/>
  <c r="AG79" i="1" s="1"/>
  <c r="AJ79" i="1"/>
  <c r="AD80" i="1"/>
  <c r="AJ80" i="1"/>
  <c r="AJ26" i="1"/>
  <c r="AJ76" i="1"/>
  <c r="AJ39" i="1"/>
  <c r="AJ41" i="1"/>
  <c r="AN55" i="1"/>
  <c r="AI47" i="1"/>
  <c r="AI49" i="1"/>
  <c r="AI53" i="1"/>
  <c r="AI55" i="1"/>
  <c r="AI57" i="1"/>
  <c r="AI59" i="1"/>
  <c r="AI61" i="1"/>
  <c r="AI63" i="1"/>
  <c r="AI65" i="1"/>
  <c r="AI73" i="1"/>
  <c r="AI14" i="1"/>
  <c r="AI54" i="1"/>
  <c r="AJ28" i="1"/>
  <c r="AJ30" i="1"/>
  <c r="AJ32" i="1"/>
  <c r="AJ34" i="1"/>
  <c r="AJ36" i="1"/>
  <c r="AJ38" i="1"/>
  <c r="AN42" i="1"/>
  <c r="AJ42" i="1"/>
  <c r="AI52" i="1"/>
  <c r="AJ52" i="1"/>
  <c r="AB22" i="1"/>
  <c r="AJ22" i="1"/>
  <c r="AI13" i="1"/>
  <c r="AI15" i="1"/>
  <c r="AI17" i="1"/>
  <c r="AI19" i="1"/>
  <c r="AI21" i="1"/>
  <c r="AI23" i="1"/>
  <c r="AI25" i="1"/>
  <c r="AI27" i="1"/>
  <c r="AI29" i="1"/>
  <c r="AI31" i="1"/>
  <c r="AI33" i="1"/>
  <c r="AI35" i="1"/>
  <c r="AI37" i="1"/>
  <c r="AI39" i="1"/>
  <c r="AI41" i="1"/>
  <c r="AI43" i="1"/>
  <c r="AJ44" i="1"/>
  <c r="AJ46" i="1"/>
  <c r="AJ48" i="1"/>
  <c r="AJ54" i="1"/>
  <c r="AB56" i="1"/>
  <c r="AJ56" i="1"/>
  <c r="AB58" i="1"/>
  <c r="AJ58" i="1"/>
  <c r="AJ60" i="1"/>
  <c r="AJ62" i="1"/>
  <c r="AJ64" i="1"/>
  <c r="AJ66" i="1"/>
  <c r="AJ68" i="1"/>
  <c r="AJ70" i="1"/>
  <c r="AJ74" i="1"/>
  <c r="AJ27" i="1"/>
  <c r="AJ29" i="1"/>
  <c r="AJ31" i="1"/>
  <c r="AJ33" i="1"/>
  <c r="AJ35" i="1"/>
  <c r="AJ37" i="1"/>
  <c r="AI45" i="1"/>
  <c r="AJ45" i="1"/>
  <c r="AI75" i="1"/>
  <c r="AI16" i="1"/>
  <c r="AI18" i="1"/>
  <c r="AI20" i="1"/>
  <c r="AI22" i="1"/>
  <c r="AI24" i="1"/>
  <c r="AI26" i="1"/>
  <c r="AI28" i="1"/>
  <c r="AI30" i="1"/>
  <c r="AI32" i="1"/>
  <c r="AI34" i="1"/>
  <c r="AI36" i="1"/>
  <c r="AI38" i="1"/>
  <c r="AI40" i="1"/>
  <c r="AI42" i="1"/>
  <c r="AJ47" i="1"/>
  <c r="AJ49" i="1"/>
  <c r="AJ53" i="1"/>
  <c r="AB55" i="1"/>
  <c r="AJ55" i="1"/>
  <c r="AB57" i="1"/>
  <c r="AJ57" i="1"/>
  <c r="AB59" i="1"/>
  <c r="AJ59" i="1"/>
  <c r="AB61" i="1"/>
  <c r="AJ61" i="1"/>
  <c r="AB63" i="1"/>
  <c r="AJ63" i="1"/>
  <c r="AB65" i="1"/>
  <c r="AJ65" i="1"/>
  <c r="AB67" i="1"/>
  <c r="AJ67" i="1"/>
  <c r="AJ69" i="1"/>
  <c r="AJ71" i="1"/>
  <c r="AJ73" i="1"/>
  <c r="AJ75" i="1"/>
  <c r="AI50" i="1"/>
  <c r="AJ50" i="1"/>
  <c r="AI51" i="1"/>
  <c r="AJ51" i="1"/>
  <c r="AO52" i="1"/>
  <c r="AN51" i="1"/>
  <c r="AD46" i="1"/>
  <c r="AG46" i="1" s="1"/>
  <c r="AB39" i="1"/>
  <c r="AA39" i="1"/>
  <c r="AB16" i="1"/>
  <c r="AA16" i="1"/>
  <c r="AB41" i="1"/>
  <c r="AO41" i="1"/>
  <c r="AO72" i="1"/>
  <c r="AD71" i="1"/>
  <c r="AG71" i="1" s="1"/>
  <c r="AP72" i="1"/>
  <c r="AB71" i="1"/>
  <c r="AN50" i="1"/>
  <c r="AD44" i="1"/>
  <c r="AG44" i="1" s="1"/>
  <c r="AD19" i="1"/>
  <c r="AG19" i="1" s="1"/>
  <c r="AD23" i="1"/>
  <c r="AG23" i="1" s="1"/>
  <c r="AD25" i="1"/>
  <c r="AG25" i="1" s="1"/>
  <c r="AD31" i="1"/>
  <c r="AG31" i="1" s="1"/>
  <c r="AD33" i="1"/>
  <c r="AG33" i="1" s="1"/>
  <c r="AD35" i="1"/>
  <c r="AG35" i="1" s="1"/>
  <c r="AD37" i="1"/>
  <c r="AG37" i="1" s="1"/>
  <c r="AD39" i="1"/>
  <c r="AG39" i="1" s="1"/>
  <c r="AD41" i="1"/>
  <c r="AG41" i="1" s="1"/>
  <c r="AD16" i="1"/>
  <c r="AG16" i="1" s="1"/>
  <c r="AD22" i="1"/>
  <c r="AG22" i="1" s="1"/>
  <c r="AD26" i="1"/>
  <c r="AG26" i="1" s="1"/>
  <c r="AD28" i="1"/>
  <c r="AG28" i="1" s="1"/>
  <c r="AD45" i="1"/>
  <c r="AG45" i="1" s="1"/>
  <c r="AD49" i="1"/>
  <c r="AG49" i="1" s="1"/>
  <c r="AD42" i="1"/>
  <c r="AG42" i="1" s="1"/>
  <c r="AD55" i="1"/>
  <c r="AG55" i="1" s="1"/>
  <c r="AD57" i="1"/>
  <c r="AG57" i="1" s="1"/>
  <c r="AD59" i="1"/>
  <c r="AG59" i="1" s="1"/>
  <c r="AD60" i="1"/>
  <c r="AG60" i="1" s="1"/>
  <c r="AD17" i="1"/>
  <c r="AG17" i="1" s="1"/>
  <c r="AD61" i="1"/>
  <c r="AG61" i="1" s="1"/>
  <c r="AD65" i="1"/>
  <c r="AG65" i="1" s="1"/>
  <c r="AD69" i="1"/>
  <c r="AG69" i="1" s="1"/>
  <c r="AD73" i="1"/>
  <c r="AG73" i="1" s="1"/>
  <c r="AD75" i="1"/>
  <c r="AG75" i="1" s="1"/>
  <c r="AD43" i="1"/>
  <c r="AG43" i="1" s="1"/>
  <c r="AD24" i="1"/>
  <c r="AG24" i="1" s="1"/>
  <c r="AD29" i="1"/>
  <c r="AG29" i="1" s="1"/>
  <c r="AD62" i="1"/>
  <c r="AG62" i="1" s="1"/>
  <c r="AD64" i="1"/>
  <c r="AG64" i="1" s="1"/>
  <c r="AD66" i="1"/>
  <c r="AG66" i="1" s="1"/>
  <c r="AD68" i="1"/>
  <c r="AG68" i="1" s="1"/>
  <c r="AD70" i="1"/>
  <c r="AG70" i="1" s="1"/>
  <c r="AD72" i="1"/>
  <c r="AG72" i="1" s="1"/>
  <c r="AD74" i="1"/>
  <c r="AG74" i="1" s="1"/>
  <c r="AD76" i="1"/>
  <c r="AG76" i="1" s="1"/>
  <c r="AA22" i="1"/>
  <c r="AD18" i="1"/>
  <c r="AG18" i="1" s="1"/>
  <c r="AA46" i="1"/>
  <c r="AD53" i="1"/>
  <c r="AG53" i="1" s="1"/>
  <c r="AD63" i="1"/>
  <c r="AG63" i="1" s="1"/>
  <c r="AD67" i="1"/>
  <c r="AG67" i="1" s="1"/>
  <c r="AD30" i="1"/>
  <c r="AG30" i="1" s="1"/>
  <c r="AD38" i="1"/>
  <c r="AG38" i="1" s="1"/>
  <c r="AA48" i="1"/>
  <c r="AD48" i="1"/>
  <c r="AG48" i="1" s="1"/>
  <c r="AD36" i="1"/>
  <c r="AG36" i="1" s="1"/>
  <c r="AA42" i="1"/>
  <c r="AD32" i="1"/>
  <c r="AG32" i="1" s="1"/>
  <c r="AA40" i="1"/>
  <c r="AD40" i="1"/>
  <c r="AG40" i="1" s="1"/>
  <c r="AB40" i="1"/>
  <c r="AA50" i="1"/>
  <c r="AD50" i="1"/>
  <c r="AG50" i="1" s="1"/>
  <c r="AD34" i="1"/>
  <c r="AG34" i="1" s="1"/>
  <c r="AA51" i="1"/>
  <c r="AD21" i="1"/>
  <c r="AG21" i="1" s="1"/>
  <c r="AA54" i="1"/>
  <c r="AA56" i="1"/>
  <c r="AA58" i="1"/>
  <c r="AA45" i="1"/>
  <c r="AA47" i="1"/>
  <c r="AA49" i="1"/>
  <c r="AB60" i="1"/>
  <c r="AA60" i="1"/>
  <c r="AA61" i="1"/>
  <c r="AB62" i="1"/>
  <c r="AA62" i="1"/>
  <c r="AA63" i="1"/>
  <c r="AB64" i="1"/>
  <c r="AA64" i="1"/>
  <c r="AA65" i="1"/>
  <c r="AB66" i="1"/>
  <c r="AA66" i="1"/>
  <c r="AA67" i="1"/>
  <c r="AB68" i="1"/>
  <c r="AA68" i="1"/>
  <c r="AA70" i="1"/>
  <c r="AA53" i="1"/>
  <c r="AA55" i="1"/>
  <c r="AA57" i="1"/>
  <c r="AA59" i="1"/>
  <c r="AA41" i="1"/>
  <c r="AD51" i="1"/>
  <c r="AG51" i="1" s="1"/>
  <c r="AA52" i="1"/>
  <c r="W12" i="1"/>
  <c r="W11" i="1" s="1"/>
  <c r="AD11" i="1" s="1"/>
  <c r="AD20" i="1"/>
  <c r="AG20" i="1" s="1"/>
  <c r="AD27" i="1"/>
  <c r="AG27" i="1" s="1"/>
  <c r="AD47" i="1"/>
  <c r="AG47" i="1" s="1"/>
  <c r="AD52" i="1"/>
  <c r="AG52" i="1" s="1"/>
  <c r="AD54" i="1"/>
  <c r="AG54" i="1" s="1"/>
  <c r="AD56" i="1"/>
  <c r="AG56" i="1" s="1"/>
  <c r="AD58" i="1"/>
  <c r="AG58" i="1" s="1"/>
  <c r="AB70" i="1"/>
  <c r="AA71" i="1"/>
  <c r="AN11" i="1" l="1"/>
  <c r="AL11" i="1"/>
  <c r="AA11" i="1"/>
  <c r="AF11" i="1"/>
  <c r="AN15" i="1"/>
  <c r="AN16" i="1"/>
  <c r="AI12" i="1"/>
  <c r="AO11" i="1"/>
  <c r="AG11" i="1"/>
  <c r="AI11" i="1" l="1"/>
  <c r="AE11" i="1"/>
  <c r="AJ11" i="1"/>
  <c r="AN12" i="1"/>
  <c r="AO12" i="1"/>
</calcChain>
</file>

<file path=xl/sharedStrings.xml><?xml version="1.0" encoding="utf-8"?>
<sst xmlns="http://schemas.openxmlformats.org/spreadsheetml/2006/main" count="649" uniqueCount="237">
  <si>
    <t xml:space="preserve"> </t>
  </si>
  <si>
    <t>STT</t>
  </si>
  <si>
    <t>TÊN DA TRONG
 KẾ HOẠCH VỐN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</si>
  <si>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</si>
  <si>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</si>
  <si>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</si>
  <si>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</si>
  <si>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</si>
  <si>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</si>
  <si>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</si>
  <si>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</si>
  <si>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</si>
  <si>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</si>
  <si>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 xml:space="preserve">Số giải ngân đến cuối kỳ trước </t>
  </si>
  <si>
    <t xml:space="preserve">Số giải ngân
trong kỳ </t>
  </si>
  <si>
    <t xml:space="preserve">Tỷ lệ giải ngân (%) so với KHV đã giao </t>
  </si>
  <si>
    <t xml:space="preserve">Tỷ lệ giải ngân (%) so với cam kết giải ngân </t>
  </si>
  <si>
    <t>Số còn phải giải ngân so với ngày BC</t>
  </si>
  <si>
    <t>Ghi chú</t>
  </si>
  <si>
    <t>TỔNG CỘNG:</t>
  </si>
  <si>
    <t>Lắp đặt cống hộp rạch cầu Sơn, P25</t>
  </si>
  <si>
    <t>- QĐ KVH số  6075/QĐ-UBND ngày 27/12/2024 ghi vốn 8 triệu; 
-QĐ KHV số 1057/ QĐ-UBND ngày 20/03/2025 ghi giảm vốn 8 triệu.
- Công trình đã thanh toán toán tất toán DVC</t>
  </si>
  <si>
    <t>Xây dựng đường nối từ ngã ba Nơ Trang Long - Nguyễn Xí vào đường trục Khu dân cư Bình Hòa, phường 13, quận Bình Thạnh</t>
  </si>
  <si>
    <t>VỐN NS TẬP TRUNG</t>
  </si>
  <si>
    <t>I</t>
  </si>
  <si>
    <t>DA ĐANG CHỜ QUYẾT TOÁN</t>
  </si>
  <si>
    <t>Lắp đặt cống hộp rạch nhánh Bùi Hữu Nghĩa</t>
  </si>
  <si>
    <t xml:space="preserve"> BBT quyết toán chi phí Bồi thường</t>
  </si>
  <si>
    <t>Mở rộng đường Bùi Đình Túy (đoạn từ hẻm 304 đến đường Phan Văn Trị) quận Bình Thạnh</t>
  </si>
  <si>
    <t xml:space="preserve">Chờ phê duyệt điều chỉnh dự án </t>
  </si>
  <si>
    <t>II</t>
  </si>
  <si>
    <t>DA CHUẨN BỊ ĐẦU TƯ</t>
  </si>
  <si>
    <t>Mở rộng đoạn cuối đường Vạn Kiếp</t>
  </si>
  <si>
    <t>Đang điều chỉnh 1/2000</t>
  </si>
  <si>
    <t>Xây dựng mới Trung tâm chính trị quận Bình Thạnh</t>
  </si>
  <si>
    <t>Tạm hoãn thực hiện</t>
  </si>
  <si>
    <t>Sửa chữa cải tạo Trường THCS Thanh Đa, quận Bình Thạnh</t>
  </si>
  <si>
    <t xml:space="preserve">Điều chỉnh chủ trương đầu tư </t>
  </si>
  <si>
    <t>Xây dựng trạm trung chuyển chất thải rắn sinh hoát trên địa bàn quận Bình Thạnh</t>
  </si>
  <si>
    <t>Điều chỉnh quy hoạch 1/500</t>
  </si>
  <si>
    <t>Sửa chữa cải tạo Trường Trung học cơ sở Bình Lợi Trung, quận Bình Thạnh</t>
  </si>
  <si>
    <t>UBND quận có ý kiến điều chỉnh quy hoạch 1/2000</t>
  </si>
  <si>
    <t>Xây dựng mới trường tiểu học Phường 17</t>
  </si>
  <si>
    <t xml:space="preserve">Tạm ngưng thực hiện theo Thông báo số 65/VP ngày 11/3/2020 của VP.UBND quận Bình Thạnh. Ngày 15/3/2022, UBND quận Bình Thạnh có Văn bàn số 815 /UBND-TCKH về dự án Xây dựng mới trường tiểu học Phường 17. Tuy nhiên đến nay chưa có thông tin giải quyết </t>
  </si>
  <si>
    <t>III</t>
  </si>
  <si>
    <t>DA CHUYỂN TIẾP</t>
  </si>
  <si>
    <t>Nâng cấp bờ bao kết hợp giao thông nông thôn hẻm 534 Bình Quới, Tổ 16 Khu phố 1</t>
  </si>
  <si>
    <t>Nâng cấp bờ bao rạch Sở Nhật, Tổ 19 Khu phố 2</t>
  </si>
  <si>
    <t>Nâng cấp bờ bao rạch Ông Ngữ, Khu phố 3</t>
  </si>
  <si>
    <t>Nâng cấp bờ bao rạch Chùa, Tổ 31 - 34 Khu phố 3</t>
  </si>
  <si>
    <t xml:space="preserve">Nâng cấp bờ bao kết hợp giao thông nông thôn rạch Ông Ngữ, Tổ 9 Khu phố 1 </t>
  </si>
  <si>
    <t>Nâng cấp bờ bao rạch Cầu Cống Tổ 18 - 20 -24 Khu phố 2 (đoạn từ quán câu cá Phú Lộc đến thượng lưu rạch)</t>
  </si>
  <si>
    <t>Nâng cấp bờ bao rạch Cây Bàng, Tổ 29 Khu phố 3 (Bờ trái rạch Cây Bàng)</t>
  </si>
  <si>
    <t>Nâng cấp bờ bao rạch Ông Ngữ, Tổ 8 - 11 Khu phố 1 (Giáp sông Sài Gòn về phía thượng lưu rạch)</t>
  </si>
  <si>
    <t>Nâng cấp bờ bao rạch Cầu Cống, Tổ 24 Khu phố 2</t>
  </si>
  <si>
    <t xml:space="preserve">Nâng cấp bờ bao rạch Ông Ngữ, Tổ 33 Khu phố 3 </t>
  </si>
  <si>
    <t>Nâng cấp bờ bao rạch Cầu Làng, Tổ 22 - 25 Khu phố 2</t>
  </si>
  <si>
    <t>Nâng cấp bờ bao rạch Ông Ngữ, Tổ 15 - 24 Khu phố 1 - 2 (đoạn từ nhà số 480/53B đến thượng lưu rạch)</t>
  </si>
  <si>
    <t>Nâng cấp bờ bao rạch Cầu Cống Tổ 24 Khu phố 2 (đoạn từ tiếp giáp công trình bờ bao năm 2017 đến công trình cừ nhựa uPVC Tổ 24)</t>
  </si>
  <si>
    <t>Mở rộng hèm 265/5-265/8 Nơ Trang Long Phường 11</t>
  </si>
  <si>
    <t>Mở rộng nâng cấp đường Chu Văn An (từ ngã 5 Bình Hòa đến đường Phan Chu Trinh quận Bình Thạnh)</t>
  </si>
  <si>
    <t>Trong đó chi phí bồi thường : 4.387 tỷ đồng</t>
  </si>
  <si>
    <t>Xây dựng công viên cây xanh tại Phường 12, quận Bình Thạnh</t>
  </si>
  <si>
    <t>Cải tạo nâng tầng trường THCS Phú Mỹ</t>
  </si>
  <si>
    <t>DA KHỞI CÔNG MỚI</t>
  </si>
  <si>
    <t>Cải tạo xây dựng mở rộng trường THCS Cù chính lan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</si>
  <si>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</si>
  <si>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</si>
  <si>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</si>
  <si>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</si>
  <si>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</si>
  <si>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</si>
  <si>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</si>
  <si>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</si>
  <si>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Ngày 25/9/2025, Sở Dân tộc và Tôn giáo mời các đơn vị dự họp, ngày 30/9/2025 Sở Dân tộc và Tôn giáo tổ chức tiếp xúc vận động các Sơ bề trên. Ngày 02/10/2025, UBND Phường Gia Định có văn bản số 887/UBND-KTTHĐT đề nghị tiếp tục ngưng thi công</t>
  </si>
  <si>
    <t>Xây dựng mới trường Mầm Non 26B</t>
  </si>
  <si>
    <t>Sửa chữa cải tạo Trường Mầm Non 7B, quận Bình Thạnh</t>
  </si>
  <si>
    <t>Nâng cấp nối thông hẻm số 5 đường Nơ Trang Long và hẻm số 8 đường Hoàng Hoa Thám, phường 7,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</si>
  <si>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</si>
  <si>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</si>
  <si>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</si>
  <si>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</si>
  <si>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</si>
  <si>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</si>
  <si>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</si>
  <si>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</si>
  <si>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</si>
  <si>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</si>
  <si>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</si>
  <si>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</si>
  <si>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</si>
  <si>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</si>
  <si>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</si>
  <si>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</si>
  <si>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Trong đó chi phí bồi thường :  96.200 tỷ đồng</t>
  </si>
  <si>
    <t>VỐN BS CÓ MỤC TIÊU-
( DA CHUYỂN TIẾP)</t>
  </si>
  <si>
    <t>Xây dựng mới Trường Mầm non 25C</t>
  </si>
  <si>
    <t>- Công trình đã thanh toán tất toán DVC</t>
  </si>
  <si>
    <t>Nâng cấp vỉa hè Điện Biên Phủ</t>
  </si>
  <si>
    <t xml:space="preserve"> Đang làm hồ sơ Quyết toán</t>
  </si>
  <si>
    <t>Sửa chữa Phòng TN-Thống kê và các phòng Ban khác</t>
  </si>
  <si>
    <t>Tập hợp hồ sơ nghiệm thu</t>
  </si>
  <si>
    <t>Cải tạo Rạch nhánh văn Thánh P19</t>
  </si>
  <si>
    <t>Xây mới và chống ngập Trung tâm Hỗ Trợ Xã hội</t>
  </si>
  <si>
    <t>Ban  chưa được giao làm chủ đầu tư</t>
  </si>
  <si>
    <t>Xây dựng Trung tâm thể dục thể thao quận</t>
  </si>
  <si>
    <t>Số ước giải ngân đến 15/01/2025</t>
  </si>
  <si>
    <t>Số sẽ giải ngân từ ngày 30/12/205</t>
  </si>
  <si>
    <t>Số sẽ giải ngân từ ngày 31/12/205</t>
  </si>
  <si>
    <t>Mã dự án</t>
  </si>
  <si>
    <t>7613516</t>
  </si>
  <si>
    <t>7613439</t>
  </si>
  <si>
    <t>7958694</t>
  </si>
  <si>
    <t>7961760</t>
  </si>
  <si>
    <t>8051012</t>
  </si>
  <si>
    <t>8050582</t>
  </si>
  <si>
    <t>8050579</t>
  </si>
  <si>
    <t>8051014</t>
  </si>
  <si>
    <t>8051008</t>
  </si>
  <si>
    <t>8050581</t>
  </si>
  <si>
    <t>8050578</t>
  </si>
  <si>
    <t>8050580</t>
  </si>
  <si>
    <t>8051010</t>
  </si>
  <si>
    <t>8051013</t>
  </si>
  <si>
    <t>8051009</t>
  </si>
  <si>
    <t>8051011</t>
  </si>
  <si>
    <t>8051007</t>
  </si>
  <si>
    <t>8051015</t>
  </si>
  <si>
    <t>7588224</t>
  </si>
  <si>
    <t>8058556</t>
  </si>
  <si>
    <t>7961299</t>
  </si>
  <si>
    <t>7962118</t>
  </si>
  <si>
    <t>7618855</t>
  </si>
  <si>
    <t>7958691</t>
  </si>
  <si>
    <t>Ước chi tháng 01/2026</t>
  </si>
  <si>
    <t>Đã nhận HS PL3A</t>
  </si>
  <si>
    <t>Số còn phải giải ngân so với ngày BC ngày 17/01/2026</t>
  </si>
  <si>
    <t>Tỷ lệ giải ngân đến 17/01/2026</t>
  </si>
  <si>
    <t>KẾ HOẠCH VỐN NĂM 2026</t>
  </si>
  <si>
    <t xml:space="preserve">TỔNG 
KHV
NĂM 2026
ĐÃ GIAO
</t>
  </si>
  <si>
    <t>CAM KẾT GIẢI NGÂN NĂM 2026</t>
  </si>
  <si>
    <t>Gồm 1 DA Ban chưa được giao làm chủ đầu tư</t>
  </si>
  <si>
    <t>UBND PHƯỜNG BÌNH THẠNH</t>
  </si>
  <si>
    <t xml:space="preserve">BAN QLDAĐTXD PHƯỜNG BÌNH THẠNH </t>
  </si>
  <si>
    <t>BÁO CÁO TÌNH HÌNH THỰC HIỆN CÔNG TÁC GIẢI NGÂN - VỐN ĐẦU TƯ CÔNG NĂM 2026</t>
  </si>
  <si>
    <t xml:space="preserve">01  DỰ ÁN  BAN QUẢN LÝ DỰ ÁN ĐẦU TƯ XÂY DỰNG  BÌNH THẠNH CHƯA ĐƯỢC GIAO LÀM CHỦ ĐẦU TƯ </t>
  </si>
  <si>
    <t>Số tiền còn phải giải ngân</t>
  </si>
  <si>
    <t>Ước Số tiền sẽ thanh toán đến ngày 31/05/2025</t>
  </si>
  <si>
    <t>3000</t>
  </si>
  <si>
    <t>(Tính đến ngày 06/05/2026)</t>
  </si>
  <si>
    <t>TỔNG SỐ GIẢI NGÂN ĐẾN
 NGÀY BÁO CÁO NGÀY 06/05/2026</t>
  </si>
  <si>
    <t>Đơn vị tính: Triệu đồng</t>
  </si>
  <si>
    <t>Đã tạm ứng đủ chi phí Bồi thường</t>
  </si>
  <si>
    <t>Ước chi tháng 06/2026</t>
  </si>
  <si>
    <t>Số còn chi trong tháng 06/2026</t>
  </si>
  <si>
    <t>Uớc chi trong tháng 06/2026</t>
  </si>
  <si>
    <t xml:space="preserve"> Sửa chữa, cải tạo Trường Mầm Non 14 Phường Bình Thạnh</t>
  </si>
  <si>
    <t xml:space="preserve">Nâng cấp, cải tạo  các tuyến hẻm Chu Văn An, phường Bình Thạnh. </t>
  </si>
  <si>
    <t>Nâng cấp, cải tạo các tuyến hẻm Phan Chu Trinh, Bùi Đình Túy, Bạch Đằng, Phường Bình Thạnh</t>
  </si>
  <si>
    <t xml:space="preserve">Nâng cấp, cải tạo hẻm 334, 340, 346, 352, 328, 340, 363, 368, 378, 408 Chu Văn An, Phường Bình Thạnh </t>
  </si>
  <si>
    <t>Nâng cấp, cải tạo hẻm 245, 251, 273, 365, 393, 401, 419 Chu Văn An (Cải tạo mặt đường và hệ thống thoát nước)</t>
  </si>
  <si>
    <t>Nâng cấp, cải tạo các tuyến hẻm thuộc khu cư xá Cogido, P. Bình Thạnh 
- Hẻm 8. 20 Đinh Bộ Lĩnh nối thông Xô Viết Nghệ Tĩnh. 
- Hẻm 87 nối thông hẻm 97 Phan Văn Trị. 
– Hẻm 356 Bạch Đằng (từ Bạch Đằng đến Huỳnh Đình Hai)</t>
  </si>
  <si>
    <t>Nâng cấp, cải tạo cụm hẻm 217 Bùi Đình Túy kết nối hẻm 125 Bùi Đình Túy, phường Bình Thạnh (cải tạo mặt đường và hệ thống thoát nước)</t>
  </si>
  <si>
    <t>Sửa chữa Hội trường B tại số 6 Phan Đăng Lưu, Phường Bình Thạnh</t>
  </si>
  <si>
    <t>8194549</t>
  </si>
  <si>
    <t>8194223</t>
  </si>
  <si>
    <t>8194222</t>
  </si>
  <si>
    <t>8194547</t>
  </si>
  <si>
    <t>8194550</t>
  </si>
  <si>
    <t>8194551</t>
  </si>
  <si>
    <t>8194548</t>
  </si>
  <si>
    <t>8194553</t>
  </si>
  <si>
    <t>QĐ 3418 ngày 25/12/2025</t>
  </si>
  <si>
    <t>QĐ 545 ngày 28/05/2026</t>
  </si>
  <si>
    <t>QĐ 3461 ngày 10/06/2026</t>
  </si>
  <si>
    <t>TỔNG SỐ GIẢI NGÂN ĐẾN
 NGÀY BÁO CÁO NGÀY 30/06/2026</t>
  </si>
  <si>
    <t>(Tính đến ngày 30/06/2026)</t>
  </si>
  <si>
    <t>Cải tạo xây dựng mở rộng trường THCS Cù Chính Lan</t>
  </si>
  <si>
    <t>Công trình do UBND phường Bình Thạnh giao</t>
  </si>
  <si>
    <t>DỰ ÁN CHUẨN BỊ ĐẦU TƯ</t>
  </si>
  <si>
    <t>DỰ ÁN CHUYỂN TIẾP</t>
  </si>
  <si>
    <t>DỰ ÁN ĐANG CHỜ QUYẾT TOÁN</t>
  </si>
  <si>
    <t>IV</t>
  </si>
  <si>
    <t>V</t>
  </si>
  <si>
    <t>Số giải ngân
trong tuấn (từ ngày 26/06/2026 đến ngày 29/06/2026</t>
  </si>
  <si>
    <t>CÔNG TRÌNH DO UBND PHƯỜNG BÌNH THẠNH GIAO</t>
  </si>
  <si>
    <t>QĐ 3781 ngày 24/06/2026</t>
  </si>
  <si>
    <t>Nâng cấp bờ bao rạch Cầu Cống Tổ 24 KP2 (đoạn từ tiếp giáp xông trình bờ bao năm 2017 đến công trình cừ nhựa uPVC Tổ 24)</t>
  </si>
  <si>
    <t>Nâng cấp bờ bao rạch Cầu Cống Tổ 18-20-24 KP2 (đoạn từ quán câu cá Phú Lộc đến thượng lưu rạch)</t>
  </si>
  <si>
    <t>Xây dựng cầu nối hẻm 118 Bạch Đằng và hẻm 47 Bùi Đình Túy, phường Bình Thạnh</t>
  </si>
  <si>
    <t>Tu bổ, tôn tạo di tích Quốc gia Đình Bình Hòa, phường Bình Thạnh</t>
  </si>
  <si>
    <t>Xây dựng mới Trường Tiểu học tầm Vu (giai đoạn 2)</t>
  </si>
  <si>
    <t>QĐ 3828 ngày 26/06/2026</t>
  </si>
  <si>
    <t>Nâng cấp bờ bao kết hợp giao thông nông thôn rạch Ông Ngữ, Tổ 9, KP1</t>
  </si>
  <si>
    <t>Nâng cấp bờ bao rạch Sở Nhật, Tổ 19 KP2</t>
  </si>
  <si>
    <t>Nâng cấp bờ bao rạch Ông Ngữ, KP 3</t>
  </si>
  <si>
    <t>Nâng cấp bờ bao rạch Chùa, Tổ 31, 34 Khu phố 3</t>
  </si>
  <si>
    <t>Nâng cấp bờ bao rạch Cây Bàng, Tổ 29 KP 3 (bờ trái rạch Cây Bàng)</t>
  </si>
  <si>
    <t>Nâng cấp bờ bao rạch Ông Ngữ, Tổ 8-11 KP1 (Giáp sông SG về phía thượng lưu rạch)</t>
  </si>
  <si>
    <t>Nâng cấp bờ bao rạch Cầu Làng, Tổ 22, 25</t>
  </si>
  <si>
    <t>8050510</t>
  </si>
  <si>
    <t>11</t>
  </si>
  <si>
    <t xml:space="preserve">TỔNG 
KHV NĂM 2026 ĐÃ GIAO
</t>
  </si>
  <si>
    <t xml:space="preserve">Nâng cấp, cải tạo các tuyến hẻm Chu Văn An, phường Bình Thạnh. </t>
  </si>
  <si>
    <t>Cải tạo vỉa hè đường Đinh Bộ Lĩnh (từ đường Nguyễn Xí đến đường Điện Biên Phủ), phường 15,24,26, quận Bình Thạnh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</si>
  <si>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</si>
  <si>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 xml:space="preserve">          UBND PHƯỜNG BÌNH THẠNH</t>
  </si>
  <si>
    <t>8194552</t>
  </si>
  <si>
    <t>8194221</t>
  </si>
  <si>
    <t>QĐ 5546 ngày 25/08/2028</t>
  </si>
  <si>
    <t>QĐ 5545 ngày 25/08/2028</t>
  </si>
  <si>
    <t>Uớc chi trong tháng 9/2026</t>
  </si>
  <si>
    <t>Ước chi tháng 09/2026</t>
  </si>
  <si>
    <t>Số còn chi trong tháng 09/2026</t>
  </si>
  <si>
    <t>Số đã chi trong tháng 09/2026</t>
  </si>
  <si>
    <t>Hồ sơ A/C KT gửi thanh toán</t>
  </si>
  <si>
    <t>Lấy chi phí a</t>
  </si>
  <si>
    <t>Đã nhận hồ sơ và lập hs TT</t>
  </si>
  <si>
    <t xml:space="preserve">Đơn vị chuyển KL </t>
  </si>
  <si>
    <t>Số tiền</t>
  </si>
  <si>
    <t>Chi phí gs</t>
  </si>
  <si>
    <t>Số giải ngân
trong tuần (từ ngày 12/09/2026 đến 15/09/2026</t>
  </si>
  <si>
    <t>Số giải ngân ngày 16/09/2026 - 18/09/2026</t>
  </si>
  <si>
    <t>TỔNG SỐ GIẢI NGÂN ĐẾN NGÀY BÁO CÁO NGÀY 18/09/2026</t>
  </si>
  <si>
    <t>(Tính đến ngày 18/09/2026)</t>
  </si>
  <si>
    <t>TỔNG KHV TRƯỚC KHI GIẢM</t>
  </si>
  <si>
    <t xml:space="preserve"> TỔNG KHV SAU KHI GIẢM 2 LẦN CÔNG TRÌNH BÙI ĐÌNH TÚY : 39.020</t>
  </si>
  <si>
    <t>c</t>
  </si>
  <si>
    <t>Cán Bộ Kỹ Thuật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</si>
  <si>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</si>
  <si>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</si>
  <si>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</si>
  <si>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</si>
  <si>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</si>
  <si>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</si>
  <si>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</si>
  <si>
    <t>QĐ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</si>
</sst>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₫_-;\-* #,##0.00\ _₫_-;_-* &quot;-&quot;??\ _₫_-;_-@_-"/>
    <numFmt numFmtId="165" formatCode="_(* #,##0.00_);_(* \(#,##0.00\);_(* &quot;-&quot;??_);_(@_)"/>
    <numFmt numFmtId="166" formatCode="_(* #,##0_);_(* \(#,##0\);_(* &quot;-&quot;??_);_(@_)"/>
    <numFmt numFmtId="167" formatCode="_-* #,##0.00\ _₫_-;\-* #,##0.00\ _₫_-;_-* &quot;-&quot;??\ _₫_-;_-@"/>
    <numFmt numFmtId="168" formatCode="_-* #,##0_-;\-* #,##0_-;_-* &quot;-&quot;??_-;_-@"/>
    <numFmt numFmtId="169" formatCode="_-* #,##0.0_-;\-* #,##0.0_-;_-* &quot;-&quot;??_-;_-@"/>
    <numFmt numFmtId="170" formatCode="0.0%"/>
    <numFmt numFmtId="171" formatCode="_-* #,##0\ _₫_-;\-* #,##0\ _₫_-;_-* &quot;-&quot;??\ _₫_-;_-@_-"/>
    <numFmt numFmtId="172" formatCode="_-* #,##0.0\ _₫_-;\-* #,##0.0\ _₫_-;_-* &quot;-&quot;??\ _₫_-;_-@_-"/>
    <numFmt numFmtId="173" formatCode="0.000%"/>
  </numFmts>
  <fonts count="8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Calibri"/>
      <family val="2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0"/>
      <name val="Times New Roman"/>
      <family val="1"/>
    </font>
    <font>
      <i/>
      <sz val="11"/>
      <color theme="0"/>
      <name val="Times New Roman"/>
      <family val="1"/>
    </font>
    <font>
      <b/>
      <i/>
      <u/>
      <sz val="11"/>
      <color theme="0"/>
      <name val="Times New Roman"/>
      <family val="1"/>
    </font>
    <font>
      <b/>
      <i/>
      <sz val="11"/>
      <color theme="0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u/>
      <sz val="1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u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sz val="11"/>
      <name val="Calibri"/>
      <family val="2"/>
      <scheme val="minor"/>
    </font>
    <font>
      <b/>
      <sz val="11"/>
      <color indexed="8"/>
      <name val="Times New Roman"/>
      <family val="1"/>
    </font>
    <font>
      <sz val="12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u val="singleAccounting"/>
      <sz val="11"/>
      <color theme="1"/>
      <name val="Times New Roman"/>
      <family val="1"/>
    </font>
    <font>
      <b/>
      <u val="singleAccounting"/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2"/>
        <bgColor rgb="FFB4C6E7"/>
      </patternFill>
    </fill>
    <fill>
      <patternFill patternType="solid">
        <fgColor theme="2"/>
        <bgColor theme="0"/>
      </patternFill>
    </fill>
    <fill>
      <patternFill patternType="solid">
        <fgColor rgb="FFFFFF00"/>
        <bgColor rgb="FFB4C6E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60" fillId="0" borderId="0" applyFont="0" applyFill="0" applyBorder="0" applyAlignment="0" applyProtection="0"/>
    <xf numFmtId="9" fontId="60" fillId="0" borderId="0" applyFont="0" applyFill="0" applyBorder="0" applyAlignment="0" applyProtection="0"/>
  </cellStyleXfs>
  <cellXfs count="348">
    <xf numFmtId="0" fontId="0" fillId="0" borderId="0" xfId="0"/>
    <xf numFmtId="0" fontId="5" fillId="2" borderId="4" xfId="0" applyFont="1" applyFill="1" applyBorder="1"/>
    <xf numFmtId="0" fontId="6" fillId="2" borderId="4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166" fontId="6" fillId="2" borderId="4" xfId="0" applyNumberFormat="1" applyFont="1" applyFill="1" applyBorder="1" applyAlignment="1">
      <alignment horizontal="center"/>
    </xf>
    <xf numFmtId="0" fontId="8" fillId="2" borderId="4" xfId="0" applyFont="1" applyFill="1" applyBorder="1"/>
    <xf numFmtId="0" fontId="9" fillId="2" borderId="4" xfId="0" applyFont="1" applyFill="1" applyBorder="1"/>
    <xf numFmtId="0" fontId="10" fillId="2" borderId="4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2" borderId="4" xfId="0" applyFont="1" applyFill="1" applyBorder="1"/>
    <xf numFmtId="0" fontId="16" fillId="2" borderId="4" xfId="0" applyFont="1" applyFill="1" applyBorder="1"/>
    <xf numFmtId="0" fontId="5" fillId="2" borderId="4" xfId="0" applyFont="1" applyFill="1" applyBorder="1" applyAlignment="1">
      <alignment wrapText="1"/>
    </xf>
    <xf numFmtId="0" fontId="17" fillId="2" borderId="4" xfId="0" applyFont="1" applyFill="1" applyBorder="1" applyAlignment="1">
      <alignment horizontal="center" wrapText="1"/>
    </xf>
    <xf numFmtId="166" fontId="14" fillId="2" borderId="4" xfId="0" applyNumberFormat="1" applyFont="1" applyFill="1" applyBorder="1"/>
    <xf numFmtId="9" fontId="14" fillId="2" borderId="4" xfId="0" applyNumberFormat="1" applyFont="1" applyFill="1" applyBorder="1"/>
    <xf numFmtId="0" fontId="4" fillId="0" borderId="4" xfId="0" applyFont="1" applyBorder="1"/>
    <xf numFmtId="168" fontId="0" fillId="0" borderId="0" xfId="0" applyNumberFormat="1"/>
    <xf numFmtId="166" fontId="0" fillId="0" borderId="0" xfId="0" applyNumberFormat="1"/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171" fontId="0" fillId="0" borderId="0" xfId="1" applyNumberFormat="1" applyFont="1" applyAlignment="1"/>
    <xf numFmtId="171" fontId="0" fillId="0" borderId="0" xfId="0" applyNumberFormat="1"/>
    <xf numFmtId="0" fontId="62" fillId="0" borderId="0" xfId="0" applyFont="1"/>
    <xf numFmtId="0" fontId="17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vertical="center" wrapText="1"/>
    </xf>
    <xf numFmtId="168" fontId="21" fillId="0" borderId="5" xfId="0" applyNumberFormat="1" applyFont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left" vertical="center" wrapText="1"/>
    </xf>
    <xf numFmtId="166" fontId="20" fillId="0" borderId="5" xfId="0" applyNumberFormat="1" applyFont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/>
    </xf>
    <xf numFmtId="166" fontId="29" fillId="2" borderId="5" xfId="0" applyNumberFormat="1" applyFont="1" applyFill="1" applyBorder="1" applyAlignment="1">
      <alignment horizontal="center" vertical="center"/>
    </xf>
    <xf numFmtId="166" fontId="22" fillId="2" borderId="5" xfId="0" applyNumberFormat="1" applyFont="1" applyFill="1" applyBorder="1" applyAlignment="1">
      <alignment horizontal="center" vertical="center" wrapText="1"/>
    </xf>
    <xf numFmtId="166" fontId="22" fillId="0" borderId="5" xfId="0" applyNumberFormat="1" applyFont="1" applyBorder="1" applyAlignment="1">
      <alignment horizontal="center" vertical="center" wrapText="1"/>
    </xf>
    <xf numFmtId="166" fontId="21" fillId="0" borderId="5" xfId="0" applyNumberFormat="1" applyFont="1" applyBorder="1" applyAlignment="1">
      <alignment horizontal="center" vertical="center" wrapText="1"/>
    </xf>
    <xf numFmtId="168" fontId="29" fillId="2" borderId="5" xfId="0" applyNumberFormat="1" applyFont="1" applyFill="1" applyBorder="1" applyAlignment="1">
      <alignment horizontal="center" vertical="center"/>
    </xf>
    <xf numFmtId="9" fontId="29" fillId="2" borderId="5" xfId="0" applyNumberFormat="1" applyFont="1" applyFill="1" applyBorder="1" applyAlignment="1">
      <alignment horizontal="center" vertical="center"/>
    </xf>
    <xf numFmtId="168" fontId="21" fillId="3" borderId="5" xfId="0" applyNumberFormat="1" applyFont="1" applyFill="1" applyBorder="1" applyAlignment="1">
      <alignment horizontal="left" vertical="center" wrapText="1"/>
    </xf>
    <xf numFmtId="171" fontId="61" fillId="2" borderId="5" xfId="1" quotePrefix="1" applyNumberFormat="1" applyFont="1" applyFill="1" applyBorder="1" applyAlignment="1">
      <alignment horizontal="center" vertical="center" wrapText="1"/>
    </xf>
    <xf numFmtId="10" fontId="30" fillId="2" borderId="5" xfId="0" applyNumberFormat="1" applyFont="1" applyFill="1" applyBorder="1" applyAlignment="1">
      <alignment horizontal="center" vertical="center" wrapText="1"/>
    </xf>
    <xf numFmtId="1" fontId="31" fillId="2" borderId="5" xfId="0" applyNumberFormat="1" applyFont="1" applyFill="1" applyBorder="1" applyAlignment="1">
      <alignment horizontal="center" vertical="center" wrapText="1"/>
    </xf>
    <xf numFmtId="166" fontId="22" fillId="2" borderId="5" xfId="0" applyNumberFormat="1" applyFont="1" applyFill="1" applyBorder="1" applyAlignment="1">
      <alignment horizontal="center" vertical="center"/>
    </xf>
    <xf numFmtId="168" fontId="21" fillId="2" borderId="5" xfId="0" applyNumberFormat="1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center" vertical="center" wrapText="1"/>
    </xf>
    <xf numFmtId="168" fontId="33" fillId="2" borderId="5" xfId="0" applyNumberFormat="1" applyFont="1" applyFill="1" applyBorder="1" applyAlignment="1">
      <alignment horizontal="center" vertical="center" wrapText="1"/>
    </xf>
    <xf numFmtId="168" fontId="34" fillId="2" borderId="5" xfId="0" applyNumberFormat="1" applyFont="1" applyFill="1" applyBorder="1" applyAlignment="1">
      <alignment horizontal="center" vertical="center" wrapText="1"/>
    </xf>
    <xf numFmtId="168" fontId="35" fillId="2" borderId="5" xfId="0" applyNumberFormat="1" applyFont="1" applyFill="1" applyBorder="1" applyAlignment="1">
      <alignment horizontal="left" vertical="center" wrapText="1"/>
    </xf>
    <xf numFmtId="168" fontId="36" fillId="2" borderId="5" xfId="0" applyNumberFormat="1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/>
    </xf>
    <xf numFmtId="0" fontId="38" fillId="2" borderId="5" xfId="0" applyFont="1" applyFill="1" applyBorder="1" applyAlignment="1">
      <alignment horizontal="left" vertical="center" wrapText="1"/>
    </xf>
    <xf numFmtId="166" fontId="39" fillId="0" borderId="5" xfId="0" applyNumberFormat="1" applyFont="1" applyBorder="1" applyAlignment="1">
      <alignment horizontal="center" vertical="center" wrapText="1"/>
    </xf>
    <xf numFmtId="166" fontId="40" fillId="2" borderId="5" xfId="0" applyNumberFormat="1" applyFont="1" applyFill="1" applyBorder="1" applyAlignment="1">
      <alignment horizontal="center" vertical="center" wrapText="1"/>
    </xf>
    <xf numFmtId="166" fontId="41" fillId="2" borderId="5" xfId="0" applyNumberFormat="1" applyFont="1" applyFill="1" applyBorder="1" applyAlignment="1">
      <alignment horizontal="center" vertical="center" wrapText="1"/>
    </xf>
    <xf numFmtId="9" fontId="42" fillId="2" borderId="5" xfId="0" applyNumberFormat="1" applyFont="1" applyFill="1" applyBorder="1" applyAlignment="1">
      <alignment horizontal="center" vertical="center" wrapText="1"/>
    </xf>
    <xf numFmtId="168" fontId="43" fillId="3" borderId="5" xfId="0" applyNumberFormat="1" applyFont="1" applyFill="1" applyBorder="1" applyAlignment="1">
      <alignment horizontal="left" vertical="center" wrapText="1"/>
    </xf>
    <xf numFmtId="166" fontId="44" fillId="2" borderId="5" xfId="0" applyNumberFormat="1" applyFont="1" applyFill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 wrapText="1"/>
    </xf>
    <xf numFmtId="166" fontId="21" fillId="2" borderId="5" xfId="0" applyNumberFormat="1" applyFont="1" applyFill="1" applyBorder="1" applyAlignment="1">
      <alignment horizontal="center" vertical="center" wrapText="1"/>
    </xf>
    <xf numFmtId="166" fontId="46" fillId="2" borderId="5" xfId="0" applyNumberFormat="1" applyFont="1" applyFill="1" applyBorder="1" applyAlignment="1">
      <alignment horizontal="center" vertical="center" wrapText="1"/>
    </xf>
    <xf numFmtId="166" fontId="46" fillId="4" borderId="5" xfId="0" applyNumberFormat="1" applyFont="1" applyFill="1" applyBorder="1" applyAlignment="1">
      <alignment horizontal="center" vertical="center" wrapText="1"/>
    </xf>
    <xf numFmtId="10" fontId="29" fillId="2" borderId="5" xfId="0" applyNumberFormat="1" applyFont="1" applyFill="1" applyBorder="1" applyAlignment="1">
      <alignment horizontal="center" vertical="center"/>
    </xf>
    <xf numFmtId="168" fontId="47" fillId="2" borderId="5" xfId="0" applyNumberFormat="1" applyFont="1" applyFill="1" applyBorder="1" applyAlignment="1">
      <alignment horizontal="center" vertical="center" wrapText="1"/>
    </xf>
    <xf numFmtId="168" fontId="48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/>
    </xf>
    <xf numFmtId="166" fontId="22" fillId="4" borderId="5" xfId="0" applyNumberFormat="1" applyFont="1" applyFill="1" applyBorder="1" applyAlignment="1">
      <alignment horizontal="center" vertical="center" wrapText="1"/>
    </xf>
    <xf numFmtId="0" fontId="56" fillId="2" borderId="5" xfId="0" applyFont="1" applyFill="1" applyBorder="1" applyAlignment="1">
      <alignment horizontal="left" vertical="center" wrapText="1"/>
    </xf>
    <xf numFmtId="0" fontId="56" fillId="2" borderId="5" xfId="0" applyFont="1" applyFill="1" applyBorder="1" applyAlignment="1">
      <alignment horizontal="center" vertical="center" wrapText="1"/>
    </xf>
    <xf numFmtId="166" fontId="51" fillId="2" borderId="5" xfId="0" applyNumberFormat="1" applyFont="1" applyFill="1" applyBorder="1" applyAlignment="1">
      <alignment horizontal="center" vertical="center" wrapText="1"/>
    </xf>
    <xf numFmtId="49" fontId="52" fillId="2" borderId="5" xfId="0" quotePrefix="1" applyNumberFormat="1" applyFont="1" applyFill="1" applyBorder="1" applyAlignment="1">
      <alignment horizontal="left" vertical="center" wrapText="1"/>
    </xf>
    <xf numFmtId="49" fontId="52" fillId="2" borderId="5" xfId="0" applyNumberFormat="1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vertical="center"/>
    </xf>
    <xf numFmtId="166" fontId="45" fillId="2" borderId="5" xfId="0" applyNumberFormat="1" applyFont="1" applyFill="1" applyBorder="1" applyAlignment="1">
      <alignment horizontal="center" vertical="center" wrapText="1"/>
    </xf>
    <xf numFmtId="168" fontId="47" fillId="2" borderId="5" xfId="0" applyNumberFormat="1" applyFont="1" applyFill="1" applyBorder="1" applyAlignment="1">
      <alignment horizontal="left" vertical="center" wrapText="1"/>
    </xf>
    <xf numFmtId="170" fontId="29" fillId="2" borderId="5" xfId="0" applyNumberFormat="1" applyFont="1" applyFill="1" applyBorder="1" applyAlignment="1">
      <alignment horizontal="center" vertical="center"/>
    </xf>
    <xf numFmtId="166" fontId="56" fillId="2" borderId="5" xfId="0" quotePrefix="1" applyNumberFormat="1" applyFont="1" applyFill="1" applyBorder="1" applyAlignment="1">
      <alignment horizontal="center" vertical="center" wrapText="1"/>
    </xf>
    <xf numFmtId="166" fontId="56" fillId="2" borderId="5" xfId="0" applyNumberFormat="1" applyFont="1" applyFill="1" applyBorder="1" applyAlignment="1">
      <alignment horizontal="center" vertical="center" wrapText="1"/>
    </xf>
    <xf numFmtId="0" fontId="14" fillId="5" borderId="5" xfId="0" applyFont="1" applyFill="1" applyBorder="1"/>
    <xf numFmtId="0" fontId="53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wrapText="1"/>
    </xf>
    <xf numFmtId="0" fontId="17" fillId="5" borderId="5" xfId="0" applyFont="1" applyFill="1" applyBorder="1" applyAlignment="1">
      <alignment horizontal="center" wrapText="1"/>
    </xf>
    <xf numFmtId="166" fontId="18" fillId="5" borderId="5" xfId="0" applyNumberFormat="1" applyFont="1" applyFill="1" applyBorder="1" applyAlignment="1">
      <alignment horizontal="center" wrapText="1"/>
    </xf>
    <xf numFmtId="166" fontId="20" fillId="5" borderId="5" xfId="0" applyNumberFormat="1" applyFont="1" applyFill="1" applyBorder="1" applyAlignment="1">
      <alignment horizontal="center" wrapText="1"/>
    </xf>
    <xf numFmtId="0" fontId="14" fillId="2" borderId="5" xfId="0" applyFont="1" applyFill="1" applyBorder="1"/>
    <xf numFmtId="168" fontId="5" fillId="5" borderId="5" xfId="0" applyNumberFormat="1" applyFont="1" applyFill="1" applyBorder="1"/>
    <xf numFmtId="0" fontId="14" fillId="5" borderId="5" xfId="0" applyFont="1" applyFill="1" applyBorder="1" applyAlignment="1">
      <alignment horizontal="left"/>
    </xf>
    <xf numFmtId="0" fontId="14" fillId="5" borderId="5" xfId="0" applyFont="1" applyFill="1" applyBorder="1" applyAlignment="1">
      <alignment horizontal="center"/>
    </xf>
    <xf numFmtId="0" fontId="29" fillId="3" borderId="5" xfId="0" applyFont="1" applyFill="1" applyBorder="1" applyAlignment="1">
      <alignment horizontal="left" vertical="center" wrapText="1"/>
    </xf>
    <xf numFmtId="166" fontId="22" fillId="3" borderId="5" xfId="0" applyNumberFormat="1" applyFont="1" applyFill="1" applyBorder="1" applyAlignment="1">
      <alignment horizontal="center" vertical="center" wrapText="1"/>
    </xf>
    <xf numFmtId="168" fontId="47" fillId="3" borderId="5" xfId="0" applyNumberFormat="1" applyFont="1" applyFill="1" applyBorder="1" applyAlignment="1">
      <alignment horizontal="center" vertical="center" wrapText="1"/>
    </xf>
    <xf numFmtId="166" fontId="20" fillId="3" borderId="5" xfId="0" applyNumberFormat="1" applyFont="1" applyFill="1" applyBorder="1" applyAlignment="1">
      <alignment horizontal="center" vertical="center" wrapText="1"/>
    </xf>
    <xf numFmtId="166" fontId="21" fillId="3" borderId="5" xfId="0" applyNumberFormat="1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 wrapText="1"/>
    </xf>
    <xf numFmtId="166" fontId="25" fillId="6" borderId="5" xfId="0" applyNumberFormat="1" applyFont="1" applyFill="1" applyBorder="1" applyAlignment="1">
      <alignment horizontal="center" vertical="center"/>
    </xf>
    <xf numFmtId="169" fontId="26" fillId="6" borderId="5" xfId="0" applyNumberFormat="1" applyFont="1" applyFill="1" applyBorder="1" applyAlignment="1">
      <alignment horizontal="center" vertical="center"/>
    </xf>
    <xf numFmtId="168" fontId="27" fillId="6" borderId="5" xfId="0" applyNumberFormat="1" applyFont="1" applyFill="1" applyBorder="1" applyAlignment="1">
      <alignment horizontal="center" vertical="center"/>
    </xf>
    <xf numFmtId="10" fontId="28" fillId="6" borderId="5" xfId="0" applyNumberFormat="1" applyFont="1" applyFill="1" applyBorder="1" applyAlignment="1">
      <alignment horizontal="center" vertical="center"/>
    </xf>
    <xf numFmtId="0" fontId="0" fillId="8" borderId="0" xfId="0" applyFill="1"/>
    <xf numFmtId="0" fontId="64" fillId="8" borderId="5" xfId="0" applyFont="1" applyFill="1" applyBorder="1" applyAlignment="1">
      <alignment horizontal="center" vertical="center" wrapText="1"/>
    </xf>
    <xf numFmtId="166" fontId="65" fillId="8" borderId="5" xfId="0" applyNumberFormat="1" applyFont="1" applyFill="1" applyBorder="1" applyAlignment="1">
      <alignment horizontal="center" vertical="center"/>
    </xf>
    <xf numFmtId="0" fontId="54" fillId="2" borderId="5" xfId="0" applyFont="1" applyFill="1" applyBorder="1" applyAlignment="1">
      <alignment horizontal="center" vertical="center" wrapText="1"/>
    </xf>
    <xf numFmtId="0" fontId="54" fillId="2" borderId="5" xfId="0" applyFont="1" applyFill="1" applyBorder="1" applyAlignment="1">
      <alignment horizontal="center" vertical="center"/>
    </xf>
    <xf numFmtId="166" fontId="66" fillId="8" borderId="5" xfId="0" applyNumberFormat="1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/>
    </xf>
    <xf numFmtId="0" fontId="67" fillId="2" borderId="5" xfId="0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 wrapText="1"/>
    </xf>
    <xf numFmtId="0" fontId="54" fillId="8" borderId="5" xfId="0" quotePrefix="1" applyFont="1" applyFill="1" applyBorder="1" applyAlignment="1">
      <alignment horizontal="center" vertical="center" wrapText="1"/>
    </xf>
    <xf numFmtId="166" fontId="66" fillId="2" borderId="5" xfId="0" quotePrefix="1" applyNumberFormat="1" applyFont="1" applyFill="1" applyBorder="1" applyAlignment="1">
      <alignment horizontal="center" vertical="center" wrapText="1"/>
    </xf>
    <xf numFmtId="172" fontId="29" fillId="2" borderId="5" xfId="1" applyNumberFormat="1" applyFont="1" applyFill="1" applyBorder="1" applyAlignment="1">
      <alignment horizontal="center" vertical="center"/>
    </xf>
    <xf numFmtId="171" fontId="29" fillId="2" borderId="5" xfId="1" applyNumberFormat="1" applyFont="1" applyFill="1" applyBorder="1" applyAlignment="1">
      <alignment horizontal="center" vertical="center"/>
    </xf>
    <xf numFmtId="171" fontId="28" fillId="6" borderId="5" xfId="1" applyNumberFormat="1" applyFont="1" applyFill="1" applyBorder="1" applyAlignment="1">
      <alignment horizontal="center" vertical="center"/>
    </xf>
    <xf numFmtId="171" fontId="20" fillId="2" borderId="5" xfId="1" applyNumberFormat="1" applyFont="1" applyFill="1" applyBorder="1" applyAlignment="1">
      <alignment horizontal="center" vertical="center"/>
    </xf>
    <xf numFmtId="171" fontId="0" fillId="8" borderId="0" xfId="0" applyNumberFormat="1" applyFill="1"/>
    <xf numFmtId="173" fontId="0" fillId="0" borderId="0" xfId="2" applyNumberFormat="1" applyFont="1" applyAlignment="1"/>
    <xf numFmtId="166" fontId="0" fillId="8" borderId="0" xfId="0" applyNumberFormat="1" applyFill="1"/>
    <xf numFmtId="10" fontId="0" fillId="0" borderId="0" xfId="2" applyNumberFormat="1" applyFont="1" applyAlignment="1"/>
    <xf numFmtId="168" fontId="48" fillId="2" borderId="5" xfId="0" quotePrefix="1" applyNumberFormat="1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 wrapText="1"/>
    </xf>
    <xf numFmtId="171" fontId="52" fillId="2" borderId="5" xfId="1" applyNumberFormat="1" applyFont="1" applyFill="1" applyBorder="1" applyAlignment="1">
      <alignment horizontal="left" vertical="center" wrapText="1"/>
    </xf>
    <xf numFmtId="171" fontId="48" fillId="2" borderId="5" xfId="1" applyNumberFormat="1" applyFont="1" applyFill="1" applyBorder="1" applyAlignment="1">
      <alignment horizontal="center" vertical="center" wrapText="1"/>
    </xf>
    <xf numFmtId="166" fontId="20" fillId="6" borderId="5" xfId="0" applyNumberFormat="1" applyFont="1" applyFill="1" applyBorder="1" applyAlignment="1">
      <alignment horizontal="center" vertical="center"/>
    </xf>
    <xf numFmtId="10" fontId="20" fillId="6" borderId="5" xfId="2" applyNumberFormat="1" applyFont="1" applyFill="1" applyBorder="1" applyAlignment="1">
      <alignment horizontal="center" vertical="center"/>
    </xf>
    <xf numFmtId="9" fontId="20" fillId="6" borderId="5" xfId="2" applyFont="1" applyFill="1" applyBorder="1" applyAlignment="1">
      <alignment horizontal="center" vertical="center"/>
    </xf>
    <xf numFmtId="168" fontId="60" fillId="0" borderId="5" xfId="0" applyNumberFormat="1" applyFont="1" applyBorder="1" applyAlignment="1">
      <alignment vertical="center" wrapText="1"/>
    </xf>
    <xf numFmtId="0" fontId="21" fillId="2" borderId="5" xfId="0" applyFont="1" applyFill="1" applyBorder="1" applyAlignment="1">
      <alignment horizontal="center" vertical="center" wrapText="1"/>
    </xf>
    <xf numFmtId="10" fontId="47" fillId="3" borderId="5" xfId="2" applyNumberFormat="1" applyFont="1" applyFill="1" applyBorder="1" applyAlignment="1">
      <alignment horizontal="center" vertical="center" wrapText="1"/>
    </xf>
    <xf numFmtId="165" fontId="25" fillId="6" borderId="5" xfId="0" applyNumberFormat="1" applyFont="1" applyFill="1" applyBorder="1" applyAlignment="1">
      <alignment horizontal="center" vertical="center"/>
    </xf>
    <xf numFmtId="168" fontId="22" fillId="2" borderId="5" xfId="0" applyNumberFormat="1" applyFont="1" applyFill="1" applyBorder="1" applyAlignment="1">
      <alignment horizontal="center" vertical="center" wrapText="1"/>
    </xf>
    <xf numFmtId="166" fontId="29" fillId="9" borderId="5" xfId="0" applyNumberFormat="1" applyFont="1" applyFill="1" applyBorder="1" applyAlignment="1">
      <alignment horizontal="center" vertical="center"/>
    </xf>
    <xf numFmtId="166" fontId="29" fillId="0" borderId="5" xfId="0" applyNumberFormat="1" applyFont="1" applyBorder="1" applyAlignment="1">
      <alignment horizontal="left" vertical="center" wrapText="1"/>
    </xf>
    <xf numFmtId="166" fontId="68" fillId="0" borderId="5" xfId="0" applyNumberFormat="1" applyFont="1" applyBorder="1" applyAlignment="1">
      <alignment horizontal="left" vertical="center" wrapText="1"/>
    </xf>
    <xf numFmtId="166" fontId="23" fillId="2" borderId="5" xfId="0" applyNumberFormat="1" applyFont="1" applyFill="1" applyBorder="1" applyAlignment="1">
      <alignment horizontal="center" vertical="center" wrapText="1"/>
    </xf>
    <xf numFmtId="166" fontId="55" fillId="10" borderId="5" xfId="0" applyNumberFormat="1" applyFont="1" applyFill="1" applyBorder="1" applyAlignment="1">
      <alignment horizontal="center" vertical="center" wrapText="1"/>
    </xf>
    <xf numFmtId="1" fontId="31" fillId="11" borderId="5" xfId="0" quotePrefix="1" applyNumberFormat="1" applyFont="1" applyFill="1" applyBorder="1" applyAlignment="1">
      <alignment horizontal="left" vertical="center" wrapText="1"/>
    </xf>
    <xf numFmtId="1" fontId="31" fillId="11" borderId="5" xfId="0" applyNumberFormat="1" applyFont="1" applyFill="1" applyBorder="1" applyAlignment="1">
      <alignment horizontal="center" vertical="center" wrapText="1"/>
    </xf>
    <xf numFmtId="166" fontId="55" fillId="11" borderId="5" xfId="0" applyNumberFormat="1" applyFont="1" applyFill="1" applyBorder="1" applyAlignment="1">
      <alignment horizontal="center" vertical="center" wrapText="1"/>
    </xf>
    <xf numFmtId="1" fontId="49" fillId="11" borderId="5" xfId="0" applyNumberFormat="1" applyFont="1" applyFill="1" applyBorder="1" applyAlignment="1">
      <alignment horizontal="center" vertical="center" wrapText="1"/>
    </xf>
    <xf numFmtId="166" fontId="57" fillId="11" borderId="5" xfId="0" applyNumberFormat="1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left" vertical="center"/>
    </xf>
    <xf numFmtId="0" fontId="31" fillId="11" borderId="5" xfId="0" applyFont="1" applyFill="1" applyBorder="1" applyAlignment="1">
      <alignment horizontal="left" vertical="center" wrapText="1"/>
    </xf>
    <xf numFmtId="0" fontId="58" fillId="11" borderId="5" xfId="0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166" fontId="31" fillId="11" borderId="5" xfId="0" applyNumberFormat="1" applyFont="1" applyFill="1" applyBorder="1" applyAlignment="1">
      <alignment horizontal="center" vertical="center"/>
    </xf>
    <xf numFmtId="168" fontId="49" fillId="11" borderId="5" xfId="0" applyNumberFormat="1" applyFont="1" applyFill="1" applyBorder="1" applyAlignment="1">
      <alignment horizontal="center" vertical="center" wrapText="1"/>
    </xf>
    <xf numFmtId="0" fontId="57" fillId="11" borderId="5" xfId="0" applyFont="1" applyFill="1" applyBorder="1" applyAlignment="1">
      <alignment horizontal="center" vertical="center"/>
    </xf>
    <xf numFmtId="168" fontId="31" fillId="11" borderId="5" xfId="0" applyNumberFormat="1" applyFont="1" applyFill="1" applyBorder="1" applyAlignment="1">
      <alignment horizontal="center" vertical="center" wrapText="1"/>
    </xf>
    <xf numFmtId="0" fontId="55" fillId="11" borderId="5" xfId="0" applyFont="1" applyFill="1" applyBorder="1" applyAlignment="1">
      <alignment horizontal="center" vertical="center"/>
    </xf>
    <xf numFmtId="166" fontId="23" fillId="0" borderId="5" xfId="0" applyNumberFormat="1" applyFont="1" applyBorder="1" applyAlignment="1">
      <alignment horizontal="center" vertical="center" wrapText="1"/>
    </xf>
    <xf numFmtId="10" fontId="29" fillId="2" borderId="5" xfId="2" applyNumberFormat="1" applyFont="1" applyFill="1" applyBorder="1" applyAlignment="1">
      <alignment horizontal="center" vertical="center"/>
    </xf>
    <xf numFmtId="166" fontId="20" fillId="0" borderId="5" xfId="0" applyNumberFormat="1" applyFont="1" applyBorder="1" applyAlignment="1">
      <alignment horizontal="left" vertical="center" wrapText="1"/>
    </xf>
    <xf numFmtId="166" fontId="69" fillId="2" borderId="5" xfId="0" applyNumberFormat="1" applyFont="1" applyFill="1" applyBorder="1" applyAlignment="1">
      <alignment horizontal="center" vertical="center" wrapText="1"/>
    </xf>
    <xf numFmtId="168" fontId="47" fillId="2" borderId="5" xfId="0" quotePrefix="1" applyNumberFormat="1" applyFont="1" applyFill="1" applyBorder="1" applyAlignment="1">
      <alignment horizontal="left" vertical="center" wrapText="1"/>
    </xf>
    <xf numFmtId="0" fontId="21" fillId="7" borderId="5" xfId="0" applyFont="1" applyFill="1" applyBorder="1" applyAlignment="1">
      <alignment horizontal="center" vertical="center" wrapText="1"/>
    </xf>
    <xf numFmtId="166" fontId="25" fillId="12" borderId="5" xfId="0" applyNumberFormat="1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/>
    </xf>
    <xf numFmtId="166" fontId="14" fillId="2" borderId="4" xfId="0" applyNumberFormat="1" applyFont="1" applyFill="1" applyBorder="1" applyAlignment="1">
      <alignment horizontal="center"/>
    </xf>
    <xf numFmtId="166" fontId="23" fillId="11" borderId="5" xfId="0" applyNumberFormat="1" applyFont="1" applyFill="1" applyBorder="1" applyAlignment="1">
      <alignment horizontal="center" vertical="center" wrapText="1"/>
    </xf>
    <xf numFmtId="1" fontId="47" fillId="11" borderId="5" xfId="0" applyNumberFormat="1" applyFont="1" applyFill="1" applyBorder="1" applyAlignment="1">
      <alignment horizontal="center" vertical="center" wrapText="1"/>
    </xf>
    <xf numFmtId="166" fontId="40" fillId="11" borderId="5" xfId="0" applyNumberFormat="1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2" fillId="11" borderId="5" xfId="0" applyFont="1" applyFill="1" applyBorder="1" applyAlignment="1">
      <alignment horizontal="center" vertical="center"/>
    </xf>
    <xf numFmtId="0" fontId="22" fillId="11" borderId="5" xfId="0" applyFont="1" applyFill="1" applyBorder="1" applyAlignment="1">
      <alignment horizontal="center" vertical="center" wrapText="1"/>
    </xf>
    <xf numFmtId="166" fontId="22" fillId="11" borderId="5" xfId="0" applyNumberFormat="1" applyFont="1" applyFill="1" applyBorder="1" applyAlignment="1">
      <alignment horizontal="center" vertical="center"/>
    </xf>
    <xf numFmtId="168" fontId="47" fillId="11" borderId="5" xfId="0" applyNumberFormat="1" applyFont="1" applyFill="1" applyBorder="1" applyAlignment="1">
      <alignment horizontal="center" vertical="center" wrapText="1"/>
    </xf>
    <xf numFmtId="0" fontId="40" fillId="11" borderId="5" xfId="0" applyFont="1" applyFill="1" applyBorder="1" applyAlignment="1">
      <alignment horizontal="center" vertical="center"/>
    </xf>
    <xf numFmtId="168" fontId="22" fillId="11" borderId="5" xfId="0" applyNumberFormat="1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/>
    </xf>
    <xf numFmtId="166" fontId="22" fillId="2" borderId="5" xfId="0" quotePrefix="1" applyNumberFormat="1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166" fontId="55" fillId="6" borderId="5" xfId="0" applyNumberFormat="1" applyFont="1" applyFill="1" applyBorder="1" applyAlignment="1">
      <alignment horizontal="center" vertical="center" wrapText="1"/>
    </xf>
    <xf numFmtId="171" fontId="0" fillId="0" borderId="0" xfId="1" applyNumberFormat="1" applyFont="1"/>
    <xf numFmtId="171" fontId="29" fillId="6" borderId="5" xfId="1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5" xfId="0" applyBorder="1"/>
    <xf numFmtId="0" fontId="60" fillId="0" borderId="5" xfId="0" applyFont="1" applyBorder="1"/>
    <xf numFmtId="0" fontId="29" fillId="0" borderId="5" xfId="0" applyFont="1" applyBorder="1"/>
    <xf numFmtId="0" fontId="29" fillId="0" borderId="5" xfId="0" applyFont="1" applyBorder="1" applyAlignment="1">
      <alignment vertical="center"/>
    </xf>
    <xf numFmtId="0" fontId="29" fillId="0" borderId="5" xfId="0" applyFont="1" applyBorder="1" applyAlignment="1">
      <alignment vertical="center" wrapText="1"/>
    </xf>
    <xf numFmtId="0" fontId="0" fillId="0" borderId="5" xfId="0" applyBorder="1" applyAlignment="1">
      <alignment vertical="center"/>
    </xf>
    <xf numFmtId="0" fontId="60" fillId="0" borderId="5" xfId="0" applyFont="1" applyBorder="1" applyAlignment="1">
      <alignment vertical="center"/>
    </xf>
    <xf numFmtId="9" fontId="29" fillId="2" borderId="5" xfId="2" applyFont="1" applyFill="1" applyBorder="1" applyAlignment="1">
      <alignment horizontal="center" vertical="center"/>
    </xf>
    <xf numFmtId="9" fontId="0" fillId="0" borderId="5" xfId="2" applyFont="1" applyBorder="1" applyAlignment="1">
      <alignment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right" vertical="center" indent="1"/>
    </xf>
    <xf numFmtId="0" fontId="29" fillId="2" borderId="5" xfId="0" applyFont="1" applyFill="1" applyBorder="1" applyAlignment="1">
      <alignment vertical="center"/>
    </xf>
    <xf numFmtId="0" fontId="29" fillId="2" borderId="5" xfId="0" applyFont="1" applyFill="1" applyBorder="1" applyAlignment="1">
      <alignment vertical="center" wrapText="1"/>
    </xf>
    <xf numFmtId="0" fontId="20" fillId="2" borderId="5" xfId="0" quotePrefix="1" applyFont="1" applyFill="1" applyBorder="1" applyAlignment="1">
      <alignment vertical="center" wrapText="1"/>
    </xf>
    <xf numFmtId="0" fontId="0" fillId="0" borderId="14" xfId="0" applyBorder="1"/>
    <xf numFmtId="0" fontId="60" fillId="0" borderId="14" xfId="0" applyFont="1" applyBorder="1"/>
    <xf numFmtId="166" fontId="22" fillId="2" borderId="14" xfId="0" applyNumberFormat="1" applyFont="1" applyFill="1" applyBorder="1" applyAlignment="1">
      <alignment vertical="center" wrapText="1"/>
    </xf>
    <xf numFmtId="166" fontId="20" fillId="0" borderId="14" xfId="0" applyNumberFormat="1" applyFont="1" applyBorder="1" applyAlignment="1">
      <alignment vertical="center" wrapText="1"/>
    </xf>
    <xf numFmtId="9" fontId="0" fillId="0" borderId="14" xfId="2" applyFont="1" applyBorder="1" applyAlignment="1">
      <alignment vertical="center"/>
    </xf>
    <xf numFmtId="10" fontId="29" fillId="2" borderId="14" xfId="0" applyNumberFormat="1" applyFont="1" applyFill="1" applyBorder="1" applyAlignment="1">
      <alignment vertical="center"/>
    </xf>
    <xf numFmtId="166" fontId="20" fillId="0" borderId="14" xfId="0" applyNumberFormat="1" applyFont="1" applyBorder="1" applyAlignment="1">
      <alignment vertical="center"/>
    </xf>
    <xf numFmtId="166" fontId="22" fillId="2" borderId="14" xfId="0" quotePrefix="1" applyNumberFormat="1" applyFont="1" applyFill="1" applyBorder="1" applyAlignment="1">
      <alignment vertical="center" wrapText="1"/>
    </xf>
    <xf numFmtId="0" fontId="20" fillId="0" borderId="5" xfId="0" applyFont="1" applyBorder="1" applyAlignment="1">
      <alignment horizontal="center" vertical="center" wrapText="1"/>
    </xf>
    <xf numFmtId="166" fontId="20" fillId="0" borderId="5" xfId="0" applyNumberFormat="1" applyFont="1" applyBorder="1" applyAlignment="1">
      <alignment vertical="center"/>
    </xf>
    <xf numFmtId="166" fontId="4" fillId="0" borderId="4" xfId="0" applyNumberFormat="1" applyFont="1" applyBorder="1"/>
    <xf numFmtId="0" fontId="64" fillId="0" borderId="5" xfId="0" applyFont="1" applyBorder="1" applyAlignment="1">
      <alignment horizontal="center" vertical="center" wrapText="1"/>
    </xf>
    <xf numFmtId="165" fontId="65" fillId="0" borderId="5" xfId="0" applyNumberFormat="1" applyFont="1" applyBorder="1" applyAlignment="1">
      <alignment horizontal="center" vertical="center"/>
    </xf>
    <xf numFmtId="166" fontId="65" fillId="0" borderId="5" xfId="0" applyNumberFormat="1" applyFont="1" applyBorder="1" applyAlignment="1">
      <alignment horizontal="center" vertical="center"/>
    </xf>
    <xf numFmtId="166" fontId="71" fillId="0" borderId="5" xfId="0" applyNumberFormat="1" applyFont="1" applyBorder="1" applyAlignment="1">
      <alignment horizontal="center" vertical="center" wrapText="1"/>
    </xf>
    <xf numFmtId="166" fontId="72" fillId="0" borderId="5" xfId="0" applyNumberFormat="1" applyFont="1" applyBorder="1" applyAlignment="1">
      <alignment horizontal="center" vertical="center" wrapText="1"/>
    </xf>
    <xf numFmtId="168" fontId="70" fillId="0" borderId="5" xfId="0" applyNumberFormat="1" applyFont="1" applyBorder="1" applyAlignment="1">
      <alignment horizontal="center" vertical="center"/>
    </xf>
    <xf numFmtId="166" fontId="70" fillId="0" borderId="5" xfId="0" applyNumberFormat="1" applyFont="1" applyBorder="1" applyAlignment="1">
      <alignment horizontal="center" vertical="center"/>
    </xf>
    <xf numFmtId="0" fontId="73" fillId="0" borderId="5" xfId="0" applyFont="1" applyBorder="1" applyAlignment="1">
      <alignment vertical="center"/>
    </xf>
    <xf numFmtId="0" fontId="73" fillId="0" borderId="14" xfId="0" applyFont="1" applyBorder="1" applyAlignment="1">
      <alignment vertical="center"/>
    </xf>
    <xf numFmtId="0" fontId="73" fillId="0" borderId="5" xfId="0" applyFont="1" applyBorder="1"/>
    <xf numFmtId="0" fontId="73" fillId="0" borderId="0" xfId="0" applyFont="1"/>
    <xf numFmtId="0" fontId="20" fillId="2" borderId="5" xfId="0" applyFont="1" applyFill="1" applyBorder="1" applyAlignment="1">
      <alignment horizontal="center" vertical="center" wrapText="1"/>
    </xf>
    <xf numFmtId="0" fontId="69" fillId="2" borderId="4" xfId="0" applyFont="1" applyFill="1" applyBorder="1"/>
    <xf numFmtId="0" fontId="29" fillId="2" borderId="4" xfId="0" applyFont="1" applyFill="1" applyBorder="1"/>
    <xf numFmtId="166" fontId="23" fillId="8" borderId="5" xfId="0" applyNumberFormat="1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 wrapText="1"/>
    </xf>
    <xf numFmtId="166" fontId="23" fillId="2" borderId="5" xfId="0" quotePrefix="1" applyNumberFormat="1" applyFont="1" applyFill="1" applyBorder="1" applyAlignment="1">
      <alignment horizontal="center" vertical="center" wrapText="1"/>
    </xf>
    <xf numFmtId="49" fontId="74" fillId="0" borderId="5" xfId="0" applyNumberFormat="1" applyFont="1" applyBorder="1" applyAlignment="1">
      <alignment horizontal="center" vertical="center" wrapText="1"/>
    </xf>
    <xf numFmtId="0" fontId="2" fillId="0" borderId="0" xfId="0" applyFont="1"/>
    <xf numFmtId="0" fontId="23" fillId="2" borderId="5" xfId="0" applyFont="1" applyFill="1" applyBorder="1" applyAlignment="1">
      <alignment horizontal="left" vertical="center" wrapText="1"/>
    </xf>
    <xf numFmtId="0" fontId="2" fillId="0" borderId="5" xfId="0" applyFont="1" applyBorder="1"/>
    <xf numFmtId="0" fontId="29" fillId="9" borderId="5" xfId="0" applyFont="1" applyFill="1" applyBorder="1" applyAlignment="1">
      <alignment horizontal="center" vertical="center"/>
    </xf>
    <xf numFmtId="49" fontId="74" fillId="7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/>
    <xf numFmtId="0" fontId="60" fillId="7" borderId="5" xfId="0" applyFont="1" applyFill="1" applyBorder="1"/>
    <xf numFmtId="166" fontId="22" fillId="9" borderId="5" xfId="0" applyNumberFormat="1" applyFont="1" applyFill="1" applyBorder="1" applyAlignment="1">
      <alignment horizontal="center" vertical="center" wrapText="1"/>
    </xf>
    <xf numFmtId="0" fontId="29" fillId="7" borderId="5" xfId="0" applyFont="1" applyFill="1" applyBorder="1"/>
    <xf numFmtId="166" fontId="70" fillId="7" borderId="5" xfId="0" applyNumberFormat="1" applyFont="1" applyFill="1" applyBorder="1" applyAlignment="1">
      <alignment horizontal="center" vertical="center"/>
    </xf>
    <xf numFmtId="0" fontId="73" fillId="7" borderId="5" xfId="0" applyFont="1" applyFill="1" applyBorder="1"/>
    <xf numFmtId="0" fontId="73" fillId="7" borderId="5" xfId="0" applyFont="1" applyFill="1" applyBorder="1" applyAlignment="1">
      <alignment vertical="center"/>
    </xf>
    <xf numFmtId="9" fontId="0" fillId="7" borderId="5" xfId="2" applyFont="1" applyFill="1" applyBorder="1" applyAlignment="1">
      <alignment horizontal="right" vertical="center" indent="1"/>
    </xf>
    <xf numFmtId="10" fontId="29" fillId="9" borderId="5" xfId="0" applyNumberFormat="1" applyFont="1" applyFill="1" applyBorder="1" applyAlignment="1">
      <alignment horizontal="center" vertical="center"/>
    </xf>
    <xf numFmtId="9" fontId="0" fillId="7" borderId="5" xfId="2" applyFont="1" applyFill="1" applyBorder="1" applyAlignment="1">
      <alignment horizontal="center" vertical="center"/>
    </xf>
    <xf numFmtId="166" fontId="20" fillId="7" borderId="5" xfId="0" applyNumberFormat="1" applyFont="1" applyFill="1" applyBorder="1" applyAlignment="1">
      <alignment vertical="center"/>
    </xf>
    <xf numFmtId="166" fontId="22" fillId="9" borderId="5" xfId="0" quotePrefix="1" applyNumberFormat="1" applyFont="1" applyFill="1" applyBorder="1" applyAlignment="1">
      <alignment horizontal="center" vertical="center" wrapText="1"/>
    </xf>
    <xf numFmtId="0" fontId="0" fillId="7" borderId="0" xfId="0" applyFill="1"/>
    <xf numFmtId="166" fontId="20" fillId="7" borderId="5" xfId="0" applyNumberFormat="1" applyFont="1" applyFill="1" applyBorder="1" applyAlignment="1">
      <alignment horizontal="center" vertical="center" wrapText="1"/>
    </xf>
    <xf numFmtId="168" fontId="21" fillId="0" borderId="5" xfId="0" quotePrefix="1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21" fillId="0" borderId="5" xfId="0" applyFont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75" fillId="8" borderId="5" xfId="0" applyFont="1" applyFill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/>
    </xf>
    <xf numFmtId="166" fontId="76" fillId="0" borderId="0" xfId="0" applyNumberFormat="1" applyFont="1"/>
    <xf numFmtId="0" fontId="29" fillId="8" borderId="5" xfId="0" applyFont="1" applyFill="1" applyBorder="1" applyAlignment="1">
      <alignment horizontal="left" vertical="center" wrapText="1"/>
    </xf>
    <xf numFmtId="49" fontId="74" fillId="8" borderId="5" xfId="0" applyNumberFormat="1" applyFont="1" applyFill="1" applyBorder="1" applyAlignment="1">
      <alignment horizontal="center" vertical="center" wrapText="1"/>
    </xf>
    <xf numFmtId="0" fontId="0" fillId="8" borderId="5" xfId="0" applyFill="1" applyBorder="1"/>
    <xf numFmtId="0" fontId="60" fillId="8" borderId="5" xfId="0" applyFont="1" applyFill="1" applyBorder="1"/>
    <xf numFmtId="0" fontId="29" fillId="8" borderId="5" xfId="0" applyFont="1" applyFill="1" applyBorder="1"/>
    <xf numFmtId="166" fontId="70" fillId="8" borderId="5" xfId="0" applyNumberFormat="1" applyFont="1" applyFill="1" applyBorder="1" applyAlignment="1">
      <alignment horizontal="center" vertical="center"/>
    </xf>
    <xf numFmtId="0" fontId="73" fillId="8" borderId="5" xfId="0" applyFont="1" applyFill="1" applyBorder="1"/>
    <xf numFmtId="9" fontId="0" fillId="8" borderId="5" xfId="2" applyFont="1" applyFill="1" applyBorder="1" applyAlignment="1">
      <alignment horizontal="right" vertical="center" indent="1"/>
    </xf>
    <xf numFmtId="0" fontId="4" fillId="8" borderId="4" xfId="0" applyFont="1" applyFill="1" applyBorder="1"/>
    <xf numFmtId="0" fontId="21" fillId="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right"/>
    </xf>
    <xf numFmtId="0" fontId="20" fillId="8" borderId="15" xfId="0" applyFont="1" applyFill="1" applyBorder="1" applyAlignment="1">
      <alignment horizontal="center" vertical="center" wrapText="1"/>
    </xf>
    <xf numFmtId="166" fontId="23" fillId="6" borderId="5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0" xfId="0" applyFont="1"/>
    <xf numFmtId="0" fontId="78" fillId="0" borderId="0" xfId="0" applyFont="1"/>
    <xf numFmtId="171" fontId="29" fillId="2" borderId="5" xfId="1" applyNumberFormat="1" applyFont="1" applyFill="1" applyBorder="1" applyAlignment="1">
      <alignment horizontal="right" vertical="center"/>
    </xf>
    <xf numFmtId="166" fontId="29" fillId="8" borderId="5" xfId="0" applyNumberFormat="1" applyFont="1" applyFill="1" applyBorder="1" applyAlignment="1">
      <alignment horizontal="center" vertical="center" wrapText="1"/>
    </xf>
    <xf numFmtId="171" fontId="0" fillId="0" borderId="5" xfId="1" applyNumberFormat="1" applyFont="1" applyBorder="1"/>
    <xf numFmtId="171" fontId="29" fillId="0" borderId="5" xfId="1" applyNumberFormat="1" applyFont="1" applyBorder="1"/>
    <xf numFmtId="171" fontId="29" fillId="0" borderId="5" xfId="1" applyNumberFormat="1" applyFont="1" applyBorder="1" applyAlignment="1"/>
    <xf numFmtId="171" fontId="29" fillId="8" borderId="5" xfId="1" applyNumberFormat="1" applyFont="1" applyFill="1" applyBorder="1" applyAlignment="1"/>
    <xf numFmtId="171" fontId="73" fillId="0" borderId="5" xfId="1" applyNumberFormat="1" applyFont="1" applyBorder="1" applyAlignment="1">
      <alignment vertical="center"/>
    </xf>
    <xf numFmtId="171" fontId="73" fillId="0" borderId="14" xfId="1" applyNumberFormat="1" applyFont="1" applyBorder="1" applyAlignment="1">
      <alignment vertical="center"/>
    </xf>
    <xf numFmtId="164" fontId="70" fillId="0" borderId="5" xfId="1" applyFont="1" applyBorder="1" applyAlignment="1">
      <alignment horizontal="center" vertical="center"/>
    </xf>
    <xf numFmtId="165" fontId="70" fillId="0" borderId="5" xfId="0" applyNumberFormat="1" applyFont="1" applyBorder="1" applyAlignment="1">
      <alignment horizontal="center" vertical="center"/>
    </xf>
    <xf numFmtId="172" fontId="70" fillId="0" borderId="5" xfId="1" applyNumberFormat="1" applyFont="1" applyBorder="1" applyAlignment="1">
      <alignment horizontal="center" vertical="center"/>
    </xf>
    <xf numFmtId="171" fontId="70" fillId="0" borderId="5" xfId="1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0" fillId="8" borderId="5" xfId="0" applyFont="1" applyFill="1" applyBorder="1" applyAlignment="1">
      <alignment horizontal="left" vertical="center" wrapText="1"/>
    </xf>
    <xf numFmtId="168" fontId="20" fillId="0" borderId="5" xfId="0" quotePrefix="1" applyNumberFormat="1" applyFont="1" applyBorder="1" applyAlignment="1">
      <alignment horizontal="left" vertical="center" wrapText="1"/>
    </xf>
    <xf numFmtId="0" fontId="20" fillId="7" borderId="5" xfId="0" applyFont="1" applyFill="1" applyBorder="1" applyAlignment="1">
      <alignment horizontal="left" vertical="center" wrapText="1"/>
    </xf>
    <xf numFmtId="166" fontId="20" fillId="8" borderId="5" xfId="0" applyNumberFormat="1" applyFont="1" applyFill="1" applyBorder="1" applyAlignment="1">
      <alignment horizontal="center" vertical="center" wrapText="1"/>
    </xf>
    <xf numFmtId="166" fontId="79" fillId="0" borderId="5" xfId="0" applyNumberFormat="1" applyFont="1" applyBorder="1" applyAlignment="1">
      <alignment horizontal="left" vertical="center" wrapText="1"/>
    </xf>
    <xf numFmtId="0" fontId="79" fillId="0" borderId="5" xfId="0" applyFont="1" applyBorder="1" applyAlignment="1">
      <alignment horizontal="left" vertical="center" wrapText="1"/>
    </xf>
    <xf numFmtId="0" fontId="79" fillId="2" borderId="5" xfId="0" applyFont="1" applyFill="1" applyBorder="1" applyAlignment="1">
      <alignment horizontal="left" vertical="center" wrapText="1"/>
    </xf>
    <xf numFmtId="0" fontId="80" fillId="0" borderId="5" xfId="0" applyFont="1" applyBorder="1" applyAlignment="1">
      <alignment horizontal="left" vertical="center" wrapText="1"/>
    </xf>
    <xf numFmtId="166" fontId="80" fillId="0" borderId="5" xfId="0" applyNumberFormat="1" applyFont="1" applyBorder="1" applyAlignment="1">
      <alignment horizontal="left" vertical="center" wrapText="1"/>
    </xf>
    <xf numFmtId="10" fontId="79" fillId="0" borderId="5" xfId="0" applyNumberFormat="1" applyFont="1" applyBorder="1" applyAlignment="1">
      <alignment horizontal="center" vertical="center" wrapText="1"/>
    </xf>
    <xf numFmtId="10" fontId="79" fillId="0" borderId="5" xfId="2" applyNumberFormat="1" applyFont="1" applyBorder="1" applyAlignment="1">
      <alignment horizontal="center" vertical="center" wrapText="1"/>
    </xf>
    <xf numFmtId="171" fontId="79" fillId="8" borderId="5" xfId="0" applyNumberFormat="1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center"/>
    </xf>
    <xf numFmtId="166" fontId="14" fillId="2" borderId="0" xfId="0" applyNumberFormat="1" applyFont="1" applyFill="1" applyAlignment="1">
      <alignment horizontal="center"/>
    </xf>
    <xf numFmtId="166" fontId="23" fillId="6" borderId="5" xfId="0" applyNumberFormat="1" applyFont="1" applyFill="1" applyBorder="1" applyAlignment="1">
      <alignment horizontal="center" vertical="center" wrapText="1"/>
    </xf>
    <xf numFmtId="1" fontId="47" fillId="2" borderId="5" xfId="0" applyNumberFormat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63" fillId="8" borderId="5" xfId="0" applyFont="1" applyFill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167" fontId="63" fillId="0" borderId="5" xfId="0" applyNumberFormat="1" applyFont="1" applyBorder="1" applyAlignment="1">
      <alignment horizontal="center" vertical="center" wrapText="1"/>
    </xf>
    <xf numFmtId="167" fontId="20" fillId="0" borderId="5" xfId="0" applyNumberFormat="1" applyFont="1" applyBorder="1" applyAlignment="1">
      <alignment horizontal="center" vertical="center" wrapText="1"/>
    </xf>
    <xf numFmtId="0" fontId="20" fillId="8" borderId="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64" fillId="0" borderId="14" xfId="0" applyFont="1" applyBorder="1" applyAlignment="1">
      <alignment horizontal="center" vertical="center" wrapText="1"/>
    </xf>
    <xf numFmtId="0" fontId="64" fillId="0" borderId="16" xfId="0" applyFont="1" applyBorder="1" applyAlignment="1">
      <alignment horizontal="center" vertical="center" wrapText="1"/>
    </xf>
    <xf numFmtId="0" fontId="64" fillId="0" borderId="15" xfId="0" applyFont="1" applyBorder="1" applyAlignment="1">
      <alignment horizontal="center" vertical="center" wrapText="1"/>
    </xf>
    <xf numFmtId="0" fontId="77" fillId="2" borderId="1" xfId="0" applyFont="1" applyFill="1" applyBorder="1" applyAlignment="1">
      <alignment horizontal="left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7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center" wrapText="1"/>
    </xf>
    <xf numFmtId="0" fontId="59" fillId="2" borderId="1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20" fillId="0" borderId="6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5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/>
    <xf numFmtId="0" fontId="20" fillId="7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left" vertical="center" wrapText="1"/>
    </xf>
    <xf numFmtId="0" fontId="40" fillId="2" borderId="4" xfId="0" applyFont="1" applyFill="1" applyBorder="1" applyAlignment="1">
      <alignment horizontal="center"/>
    </xf>
    <xf numFmtId="0" fontId="70" fillId="0" borderId="4" xfId="0" applyFont="1" applyBorder="1"/>
    <xf numFmtId="0" fontId="20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9"/>
  <sheetViews>
    <sheetView workbookViewId="0">
      <pane ySplit="9" topLeftCell="A16" activePane="bottomLeft" state="frozen"/>
      <selection pane="bottomLeft" activeCell="W19" sqref="W19"/>
    </sheetView>
  </sheetViews>
  <sheetFormatPr defaultColWidth="14.42578125" defaultRowHeight="15" customHeight="1" x14ac:dyDescent="0.25"/>
  <cols>
    <col min="1" max="1" width="7.7109375" customWidth="1"/>
    <col min="2" max="2" width="29.7109375" customWidth="1"/>
    <col min="3" max="3" width="13.42578125" customWidth="1"/>
    <col min="4" max="11" width="8.7109375" hidden="1" customWidth="1"/>
    <col min="12" max="12" width="12.140625" hidden="1" customWidth="1"/>
    <col min="13" max="13" width="13.7109375" hidden="1" customWidth="1"/>
    <col min="14" max="14" width="12" customWidth="1"/>
    <col min="15" max="15" width="16.140625" hidden="1" customWidth="1"/>
    <col min="16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3.28515625" hidden="1" customWidth="1"/>
    <col min="25" max="25" width="14" hidden="1" customWidth="1"/>
    <col min="26" max="26" width="14.85546875" customWidth="1"/>
    <col min="27" max="27" width="15.85546875" customWidth="1"/>
    <col min="28" max="28" width="15.7109375" customWidth="1"/>
    <col min="29" max="29" width="12.7109375" hidden="1" customWidth="1"/>
    <col min="30" max="30" width="11.28515625" customWidth="1"/>
    <col min="31" max="32" width="14.7109375" hidden="1" customWidth="1"/>
    <col min="33" max="33" width="15.7109375" hidden="1" customWidth="1"/>
    <col min="34" max="34" width="11.42578125" hidden="1" customWidth="1"/>
    <col min="35" max="35" width="12.140625" hidden="1" customWidth="1"/>
    <col min="36" max="36" width="17.5703125" hidden="1" customWidth="1"/>
    <col min="37" max="37" width="12.28515625" hidden="1" customWidth="1"/>
    <col min="38" max="38" width="15.85546875" hidden="1" customWidth="1"/>
    <col min="39" max="39" width="19.85546875" customWidth="1"/>
  </cols>
  <sheetData>
    <row r="1" spans="1:42" ht="14.25" customHeight="1" x14ac:dyDescent="0.25">
      <c r="A1" s="340" t="s">
        <v>142</v>
      </c>
      <c r="B1" s="320"/>
      <c r="C1" s="321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2"/>
      <c r="AC1" s="17"/>
      <c r="AD1" s="1"/>
      <c r="AE1" s="2"/>
      <c r="AF1" s="2"/>
      <c r="AG1" s="2"/>
      <c r="AH1" s="3"/>
      <c r="AI1" s="3"/>
      <c r="AJ1" s="3">
        <v>500</v>
      </c>
      <c r="AK1" s="3"/>
      <c r="AL1" s="3"/>
      <c r="AM1" s="3"/>
    </row>
    <row r="2" spans="1:42" ht="16.899999999999999" customHeight="1" x14ac:dyDescent="0.25">
      <c r="A2" s="323" t="s">
        <v>143</v>
      </c>
      <c r="B2" s="320"/>
      <c r="C2" s="321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2"/>
      <c r="AC2" s="17"/>
      <c r="AD2" s="1"/>
      <c r="AE2" s="2"/>
      <c r="AF2" s="2"/>
      <c r="AG2" s="2"/>
      <c r="AH2" s="3"/>
      <c r="AI2" s="3"/>
      <c r="AJ2" s="3"/>
      <c r="AK2" s="3"/>
      <c r="AL2" s="3"/>
      <c r="AM2" s="4"/>
    </row>
    <row r="3" spans="1:42" ht="14.25" customHeight="1" x14ac:dyDescent="0.35">
      <c r="A3" s="5"/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1"/>
      <c r="Y3" s="11"/>
      <c r="Z3" s="11"/>
      <c r="AA3" s="11"/>
      <c r="AB3" s="11"/>
      <c r="AC3" s="11"/>
      <c r="AD3" s="1"/>
      <c r="AE3" s="2"/>
      <c r="AF3" s="2"/>
      <c r="AG3" s="2"/>
      <c r="AH3" s="3"/>
      <c r="AI3" s="3"/>
      <c r="AJ3" s="3"/>
      <c r="AK3" s="3"/>
      <c r="AL3" s="3"/>
      <c r="AM3" s="3"/>
    </row>
    <row r="4" spans="1:42" ht="43.15" customHeight="1" x14ac:dyDescent="0.3">
      <c r="A4" s="324" t="s">
        <v>144</v>
      </c>
      <c r="B4" s="320"/>
      <c r="C4" s="321"/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0"/>
      <c r="AC4" s="321"/>
      <c r="AD4" s="320"/>
      <c r="AE4" s="320"/>
      <c r="AF4" s="321"/>
      <c r="AG4" s="321"/>
      <c r="AH4" s="320"/>
      <c r="AI4" s="321"/>
      <c r="AJ4" s="321"/>
      <c r="AK4" s="320"/>
      <c r="AL4" s="321"/>
      <c r="AM4" s="322"/>
    </row>
    <row r="5" spans="1:42" ht="14.25" customHeight="1" x14ac:dyDescent="0.3">
      <c r="A5" s="325" t="s">
        <v>149</v>
      </c>
      <c r="B5" s="320"/>
      <c r="C5" s="321"/>
      <c r="D5" s="320"/>
      <c r="E5" s="320"/>
      <c r="F5" s="320"/>
      <c r="G5" s="320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0"/>
      <c r="AC5" s="321"/>
      <c r="AD5" s="320"/>
      <c r="AE5" s="320"/>
      <c r="AF5" s="321"/>
      <c r="AG5" s="321"/>
      <c r="AH5" s="320"/>
      <c r="AI5" s="321"/>
      <c r="AJ5" s="321"/>
      <c r="AK5" s="320"/>
      <c r="AL5" s="321"/>
      <c r="AM5" s="322"/>
    </row>
    <row r="6" spans="1:42" ht="14.25" customHeight="1" x14ac:dyDescent="0.25">
      <c r="A6" s="11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1" t="s">
        <v>0</v>
      </c>
      <c r="Y6" s="11"/>
      <c r="Z6" s="15"/>
      <c r="AA6" s="16"/>
      <c r="AB6" s="11"/>
      <c r="AC6" s="11"/>
      <c r="AD6" s="342"/>
      <c r="AE6" s="321"/>
      <c r="AF6" s="321"/>
      <c r="AG6" s="321"/>
      <c r="AH6" s="321"/>
      <c r="AI6" s="321"/>
      <c r="AJ6" s="321"/>
      <c r="AK6" s="321"/>
      <c r="AL6" s="321"/>
      <c r="AM6" s="321"/>
    </row>
    <row r="7" spans="1:42" ht="14.25" customHeight="1" x14ac:dyDescent="0.25">
      <c r="A7" s="305" t="s">
        <v>1</v>
      </c>
      <c r="B7" s="305" t="s">
        <v>2</v>
      </c>
      <c r="C7" s="308" t="s">
        <v>109</v>
      </c>
      <c r="D7" s="305" t="s">
        <v>3</v>
      </c>
      <c r="E7" s="305" t="s">
        <v>4</v>
      </c>
      <c r="F7" s="305" t="s">
        <v>5</v>
      </c>
      <c r="G7" s="305" t="s">
        <v>6</v>
      </c>
      <c r="H7" s="305" t="s">
        <v>7</v>
      </c>
      <c r="I7" s="305" t="s">
        <v>8</v>
      </c>
      <c r="J7" s="305" t="s">
        <v>9</v>
      </c>
      <c r="K7" s="305" t="s">
        <v>10</v>
      </c>
      <c r="L7" s="326" t="s">
        <v>11</v>
      </c>
      <c r="M7" s="305" t="s">
        <v>12</v>
      </c>
      <c r="N7" s="305" t="s">
        <v>140</v>
      </c>
      <c r="O7" s="328" t="s">
        <v>138</v>
      </c>
      <c r="P7" s="329"/>
      <c r="Q7" s="329"/>
      <c r="R7" s="329"/>
      <c r="S7" s="329"/>
      <c r="T7" s="329"/>
      <c r="U7" s="329"/>
      <c r="V7" s="330"/>
      <c r="W7" s="305" t="s">
        <v>139</v>
      </c>
      <c r="X7" s="341" t="s">
        <v>13</v>
      </c>
      <c r="Y7" s="341" t="s">
        <v>14</v>
      </c>
      <c r="Z7" s="311" t="s">
        <v>150</v>
      </c>
      <c r="AA7" s="305" t="s">
        <v>15</v>
      </c>
      <c r="AB7" s="305" t="s">
        <v>16</v>
      </c>
      <c r="AC7" s="305" t="s">
        <v>134</v>
      </c>
      <c r="AD7" s="311" t="s">
        <v>17</v>
      </c>
      <c r="AE7" s="337" t="s">
        <v>107</v>
      </c>
      <c r="AF7" s="337" t="s">
        <v>108</v>
      </c>
      <c r="AG7" s="337" t="s">
        <v>106</v>
      </c>
      <c r="AH7" s="339" t="s">
        <v>147</v>
      </c>
      <c r="AI7" s="311" t="s">
        <v>136</v>
      </c>
      <c r="AJ7" s="311" t="s">
        <v>137</v>
      </c>
      <c r="AK7" s="305" t="s">
        <v>135</v>
      </c>
      <c r="AL7" s="305" t="s">
        <v>146</v>
      </c>
      <c r="AM7" s="305" t="s">
        <v>18</v>
      </c>
    </row>
    <row r="8" spans="1:42" ht="14.25" customHeight="1" x14ac:dyDescent="0.25">
      <c r="A8" s="306"/>
      <c r="B8" s="306"/>
      <c r="C8" s="308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31"/>
      <c r="P8" s="332"/>
      <c r="Q8" s="332"/>
      <c r="R8" s="332"/>
      <c r="S8" s="332"/>
      <c r="T8" s="332"/>
      <c r="U8" s="332"/>
      <c r="V8" s="333"/>
      <c r="W8" s="306"/>
      <c r="X8" s="306"/>
      <c r="Y8" s="306"/>
      <c r="Z8" s="306"/>
      <c r="AA8" s="306"/>
      <c r="AB8" s="306"/>
      <c r="AC8" s="305"/>
      <c r="AD8" s="306"/>
      <c r="AE8" s="338"/>
      <c r="AF8" s="338"/>
      <c r="AG8" s="339"/>
      <c r="AH8" s="338"/>
      <c r="AI8" s="306"/>
      <c r="AJ8" s="311"/>
      <c r="AK8" s="306"/>
      <c r="AL8" s="305"/>
      <c r="AM8" s="306"/>
    </row>
    <row r="9" spans="1:42" ht="60" customHeight="1" x14ac:dyDescent="0.25">
      <c r="A9" s="306"/>
      <c r="B9" s="306"/>
      <c r="C9" s="308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06"/>
      <c r="O9" s="334"/>
      <c r="P9" s="335"/>
      <c r="Q9" s="335"/>
      <c r="R9" s="335"/>
      <c r="S9" s="335"/>
      <c r="T9" s="335"/>
      <c r="U9" s="335"/>
      <c r="V9" s="336"/>
      <c r="W9" s="306"/>
      <c r="X9" s="306"/>
      <c r="Y9" s="306"/>
      <c r="Z9" s="306"/>
      <c r="AA9" s="306"/>
      <c r="AB9" s="306"/>
      <c r="AC9" s="305"/>
      <c r="AD9" s="306"/>
      <c r="AE9" s="338"/>
      <c r="AF9" s="338"/>
      <c r="AG9" s="339"/>
      <c r="AH9" s="338"/>
      <c r="AI9" s="306"/>
      <c r="AJ9" s="311"/>
      <c r="AK9" s="306"/>
      <c r="AL9" s="305"/>
      <c r="AM9" s="306"/>
      <c r="AP9">
        <v>27</v>
      </c>
    </row>
    <row r="10" spans="1:42" ht="14.25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/>
      <c r="P10" s="129"/>
      <c r="Q10" s="129"/>
      <c r="R10" s="129"/>
      <c r="S10" s="129"/>
      <c r="T10" s="129"/>
      <c r="U10" s="129"/>
      <c r="V10" s="129"/>
      <c r="W10" s="28">
        <v>5</v>
      </c>
      <c r="X10" s="129"/>
      <c r="Y10" s="129"/>
      <c r="Z10" s="28">
        <v>6</v>
      </c>
      <c r="AA10" s="28">
        <v>7</v>
      </c>
      <c r="AB10" s="28">
        <v>8</v>
      </c>
      <c r="AC10" s="28"/>
      <c r="AD10" s="29"/>
      <c r="AE10" s="28"/>
      <c r="AF10" s="28"/>
      <c r="AG10" s="28"/>
      <c r="AH10" s="158"/>
      <c r="AI10" s="28"/>
      <c r="AJ10" s="28"/>
      <c r="AK10" s="28"/>
      <c r="AL10" s="28"/>
      <c r="AM10" s="28">
        <v>9</v>
      </c>
      <c r="AP10">
        <v>1</v>
      </c>
    </row>
    <row r="11" spans="1:42" s="102" customFormat="1" ht="22.9" customHeight="1" x14ac:dyDescent="0.25">
      <c r="A11" s="96"/>
      <c r="B11" s="97" t="s">
        <v>19</v>
      </c>
      <c r="C11" s="104"/>
      <c r="D11" s="98">
        <f t="shared" ref="D11:L11" si="0">SUM(D12:D76)</f>
        <v>10200</v>
      </c>
      <c r="E11" s="98">
        <f t="shared" si="0"/>
        <v>61324</v>
      </c>
      <c r="F11" s="98">
        <f t="shared" si="0"/>
        <v>87945</v>
      </c>
      <c r="G11" s="98">
        <f t="shared" si="0"/>
        <v>12200</v>
      </c>
      <c r="H11" s="98">
        <f t="shared" si="0"/>
        <v>15893</v>
      </c>
      <c r="I11" s="98">
        <f t="shared" si="0"/>
        <v>5015</v>
      </c>
      <c r="J11" s="98">
        <f t="shared" si="0"/>
        <v>16118</v>
      </c>
      <c r="K11" s="98">
        <f t="shared" si="0"/>
        <v>1106307</v>
      </c>
      <c r="L11" s="99">
        <f t="shared" si="0"/>
        <v>70670</v>
      </c>
      <c r="M11" s="98">
        <f t="shared" ref="M11" si="1">SUBTOTAL(9,M12:M76)</f>
        <v>1109928.4209999996</v>
      </c>
      <c r="N11" s="98">
        <f>SUBTOTAL(9,N12:N79)</f>
        <v>744725</v>
      </c>
      <c r="O11" s="98">
        <f>SUBTOTAL(9,O12:O76)</f>
        <v>1231900</v>
      </c>
      <c r="P11" s="98"/>
      <c r="Q11" s="98"/>
      <c r="R11" s="98"/>
      <c r="S11" s="98"/>
      <c r="T11" s="98"/>
      <c r="U11" s="98"/>
      <c r="V11" s="98"/>
      <c r="W11" s="98">
        <f>SUBTOTAL(9,W12:W80)</f>
        <v>1232891</v>
      </c>
      <c r="X11" s="98">
        <v>25901.316999999999</v>
      </c>
      <c r="Y11" s="100">
        <f>SUM(Y12:Y76)</f>
        <v>493244</v>
      </c>
      <c r="Z11" s="131">
        <f>SUBTOTAL(9,Z12:Z80)</f>
        <v>519145.31699999998</v>
      </c>
      <c r="AA11" s="101">
        <f>Z11/W11</f>
        <v>0.42107965505466416</v>
      </c>
      <c r="AB11" s="101">
        <f>Z11/N11</f>
        <v>0.69709666924032354</v>
      </c>
      <c r="AC11" s="115">
        <f>SUM(AC12:AC76)</f>
        <v>18254</v>
      </c>
      <c r="AD11" s="98">
        <f>W11-Z11</f>
        <v>713745.68299999996</v>
      </c>
      <c r="AE11" s="98">
        <f t="shared" ref="AE11:AG11" si="2">X11-AA11</f>
        <v>25900.895920344945</v>
      </c>
      <c r="AF11" s="98">
        <f t="shared" si="2"/>
        <v>493243.30290333077</v>
      </c>
      <c r="AG11" s="98">
        <f t="shared" si="2"/>
        <v>500891.31699999998</v>
      </c>
      <c r="AH11" s="159">
        <f>SUM(AH12:AH76)</f>
        <v>324760</v>
      </c>
      <c r="AI11" s="125">
        <f>W11-Z11-AH11</f>
        <v>388985.68299999996</v>
      </c>
      <c r="AJ11" s="126">
        <f>(Z11+AH11)/W11</f>
        <v>0.68449304683057954</v>
      </c>
      <c r="AK11" s="101"/>
      <c r="AL11" s="115">
        <f>SUM(AL12:AL79)</f>
        <v>713745.68299999996</v>
      </c>
      <c r="AM11" s="137" t="s">
        <v>141</v>
      </c>
      <c r="AN11" s="117">
        <f>W11-Z11</f>
        <v>713745.68299999996</v>
      </c>
      <c r="AO11" s="119">
        <f>Z11+AC11</f>
        <v>537399.31700000004</v>
      </c>
    </row>
    <row r="12" spans="1:42" ht="36.6" customHeight="1" x14ac:dyDescent="0.25">
      <c r="A12" s="30">
        <v>1</v>
      </c>
      <c r="B12" s="31" t="s">
        <v>20</v>
      </c>
      <c r="C12" s="105">
        <v>7613661</v>
      </c>
      <c r="D12" s="32"/>
      <c r="E12" s="32"/>
      <c r="F12" s="32"/>
      <c r="G12" s="32"/>
      <c r="H12" s="32"/>
      <c r="I12" s="32"/>
      <c r="J12" s="32"/>
      <c r="K12" s="32"/>
      <c r="L12" s="33"/>
      <c r="M12" s="34">
        <v>61230</v>
      </c>
      <c r="N12" s="32"/>
      <c r="O12" s="35"/>
      <c r="P12" s="36"/>
      <c r="Q12" s="36"/>
      <c r="R12" s="36"/>
      <c r="S12" s="37"/>
      <c r="T12" s="36"/>
      <c r="U12" s="36"/>
      <c r="V12" s="36"/>
      <c r="W12" s="32">
        <f t="shared" ref="W12:W14" si="3">S12+T12+U12+V12</f>
        <v>0</v>
      </c>
      <c r="X12" s="38"/>
      <c r="Y12" s="38"/>
      <c r="Z12" s="38">
        <f t="shared" ref="Z12:Z45" si="4">SUM(X12:Y12)</f>
        <v>0</v>
      </c>
      <c r="AA12" s="39"/>
      <c r="AB12" s="39"/>
      <c r="AC12" s="39"/>
      <c r="AD12" s="33"/>
      <c r="AE12" s="40"/>
      <c r="AF12" s="40"/>
      <c r="AG12" s="41">
        <f t="shared" ref="AG12:AG42" si="5">AD12-AE12</f>
        <v>0</v>
      </c>
      <c r="AH12" s="42"/>
      <c r="AI12" s="125">
        <f t="shared" ref="AI12:AI75" si="6">W12-Z12-AH12</f>
        <v>0</v>
      </c>
      <c r="AJ12" s="126"/>
      <c r="AK12" s="43"/>
      <c r="AL12" s="43"/>
      <c r="AM12" s="138" t="s">
        <v>21</v>
      </c>
      <c r="AN12" s="118">
        <f>AN11/W11</f>
        <v>0.57892034494533573</v>
      </c>
      <c r="AO12" s="120">
        <f>AO11/W11</f>
        <v>0.43588550569352852</v>
      </c>
    </row>
    <row r="13" spans="1:42" ht="64.150000000000006" customHeight="1" x14ac:dyDescent="0.25">
      <c r="A13" s="30">
        <v>2</v>
      </c>
      <c r="B13" s="31" t="s">
        <v>22</v>
      </c>
      <c r="C13" s="106">
        <v>7274712</v>
      </c>
      <c r="D13" s="32"/>
      <c r="E13" s="32"/>
      <c r="F13" s="32"/>
      <c r="G13" s="32"/>
      <c r="H13" s="32"/>
      <c r="I13" s="32"/>
      <c r="J13" s="32"/>
      <c r="K13" s="32"/>
      <c r="L13" s="33"/>
      <c r="M13" s="34">
        <v>1710</v>
      </c>
      <c r="N13" s="32"/>
      <c r="O13" s="35"/>
      <c r="P13" s="36"/>
      <c r="Q13" s="36"/>
      <c r="R13" s="36"/>
      <c r="S13" s="37"/>
      <c r="T13" s="36"/>
      <c r="U13" s="36"/>
      <c r="V13" s="36"/>
      <c r="W13" s="32">
        <f t="shared" si="3"/>
        <v>0</v>
      </c>
      <c r="X13" s="44"/>
      <c r="Y13" s="38"/>
      <c r="Z13" s="38">
        <f t="shared" si="4"/>
        <v>0</v>
      </c>
      <c r="AA13" s="39"/>
      <c r="AB13" s="39"/>
      <c r="AC13" s="39"/>
      <c r="AD13" s="33"/>
      <c r="AE13" s="45"/>
      <c r="AF13" s="45"/>
      <c r="AG13" s="41">
        <f t="shared" si="5"/>
        <v>0</v>
      </c>
      <c r="AH13" s="43"/>
      <c r="AI13" s="125">
        <f t="shared" si="6"/>
        <v>0</v>
      </c>
      <c r="AJ13" s="126"/>
      <c r="AK13" s="43"/>
      <c r="AL13" s="43"/>
      <c r="AM13" s="138" t="s">
        <v>21</v>
      </c>
    </row>
    <row r="14" spans="1:42" ht="23.45" customHeight="1" x14ac:dyDescent="0.25">
      <c r="A14" s="30"/>
      <c r="B14" s="46" t="s">
        <v>23</v>
      </c>
      <c r="C14" s="105"/>
      <c r="D14" s="47"/>
      <c r="E14" s="47"/>
      <c r="F14" s="47"/>
      <c r="G14" s="47"/>
      <c r="H14" s="47"/>
      <c r="I14" s="47"/>
      <c r="J14" s="47"/>
      <c r="K14" s="47"/>
      <c r="L14" s="33"/>
      <c r="M14" s="34">
        <v>0</v>
      </c>
      <c r="N14" s="47"/>
      <c r="O14" s="47"/>
      <c r="P14" s="36"/>
      <c r="Q14" s="36"/>
      <c r="R14" s="36"/>
      <c r="S14" s="37"/>
      <c r="T14" s="36"/>
      <c r="U14" s="36"/>
      <c r="V14" s="36"/>
      <c r="W14" s="32">
        <f t="shared" si="3"/>
        <v>0</v>
      </c>
      <c r="X14" s="132"/>
      <c r="Y14" s="48"/>
      <c r="Z14" s="38">
        <f t="shared" si="4"/>
        <v>0</v>
      </c>
      <c r="AA14" s="39"/>
      <c r="AB14" s="47"/>
      <c r="AC14" s="47"/>
      <c r="AD14" s="33"/>
      <c r="AE14" s="49"/>
      <c r="AF14" s="49"/>
      <c r="AG14" s="41">
        <f t="shared" si="5"/>
        <v>0</v>
      </c>
      <c r="AH14" s="50"/>
      <c r="AI14" s="125">
        <f t="shared" si="6"/>
        <v>0</v>
      </c>
      <c r="AJ14" s="126"/>
      <c r="AK14" s="50"/>
      <c r="AL14" s="50"/>
      <c r="AM14" s="139"/>
    </row>
    <row r="15" spans="1:42" ht="42.75" customHeight="1" x14ac:dyDescent="0.25">
      <c r="A15" s="51" t="s">
        <v>24</v>
      </c>
      <c r="B15" s="52" t="s">
        <v>25</v>
      </c>
      <c r="C15" s="107"/>
      <c r="D15" s="53"/>
      <c r="E15" s="53"/>
      <c r="F15" s="53"/>
      <c r="G15" s="53"/>
      <c r="H15" s="53"/>
      <c r="I15" s="53"/>
      <c r="J15" s="53"/>
      <c r="K15" s="53"/>
      <c r="L15" s="33"/>
      <c r="M15" s="34">
        <v>0</v>
      </c>
      <c r="N15" s="153"/>
      <c r="O15" s="54"/>
      <c r="P15" s="36"/>
      <c r="Q15" s="36"/>
      <c r="R15" s="36"/>
      <c r="S15" s="37"/>
      <c r="T15" s="36"/>
      <c r="U15" s="36"/>
      <c r="V15" s="36"/>
      <c r="W15" s="32">
        <f>S15+T15+U15+V15</f>
        <v>0</v>
      </c>
      <c r="X15" s="35"/>
      <c r="Y15" s="55"/>
      <c r="Z15" s="38">
        <f t="shared" si="4"/>
        <v>0</v>
      </c>
      <c r="AA15" s="39"/>
      <c r="AB15" s="56"/>
      <c r="AC15" s="56"/>
      <c r="AD15" s="33"/>
      <c r="AE15" s="57"/>
      <c r="AF15" s="57"/>
      <c r="AG15" s="41">
        <f t="shared" si="5"/>
        <v>0</v>
      </c>
      <c r="AH15" s="58"/>
      <c r="AI15" s="125">
        <f t="shared" si="6"/>
        <v>0</v>
      </c>
      <c r="AJ15" s="126"/>
      <c r="AK15" s="58"/>
      <c r="AL15" s="156"/>
      <c r="AM15" s="140"/>
      <c r="AN15" s="19">
        <f>Z11+AH11</f>
        <v>843905.31700000004</v>
      </c>
    </row>
    <row r="16" spans="1:42" ht="42.75" customHeight="1" x14ac:dyDescent="0.25">
      <c r="A16" s="30">
        <v>1</v>
      </c>
      <c r="B16" s="31" t="s">
        <v>26</v>
      </c>
      <c r="C16" s="108" t="s">
        <v>110</v>
      </c>
      <c r="D16" s="59">
        <v>10000</v>
      </c>
      <c r="E16" s="59">
        <v>40000</v>
      </c>
      <c r="F16" s="59">
        <v>21000</v>
      </c>
      <c r="G16" s="59">
        <v>9000</v>
      </c>
      <c r="H16" s="59">
        <v>1810</v>
      </c>
      <c r="I16" s="59">
        <v>4000</v>
      </c>
      <c r="J16" s="59">
        <v>1774</v>
      </c>
      <c r="K16" s="59"/>
      <c r="L16" s="33">
        <v>70670</v>
      </c>
      <c r="M16" s="34">
        <v>0</v>
      </c>
      <c r="N16" s="59">
        <v>2200</v>
      </c>
      <c r="O16" s="61">
        <v>60050</v>
      </c>
      <c r="P16" s="35"/>
      <c r="Q16" s="35"/>
      <c r="R16" s="35"/>
      <c r="S16" s="60"/>
      <c r="T16" s="35"/>
      <c r="U16" s="61"/>
      <c r="V16" s="62"/>
      <c r="W16" s="32">
        <f>SUM(O16:V16)</f>
        <v>60050</v>
      </c>
      <c r="X16" s="34"/>
      <c r="Y16" s="34"/>
      <c r="Z16" s="38">
        <f t="shared" si="4"/>
        <v>0</v>
      </c>
      <c r="AA16" s="154">
        <f>Z16/W16</f>
        <v>0</v>
      </c>
      <c r="AB16" s="63">
        <f t="shared" ref="AB16" si="7">Z16/N16</f>
        <v>0</v>
      </c>
      <c r="AC16" s="63"/>
      <c r="AD16" s="33">
        <f t="shared" ref="AD16:AD46" si="8">W16-Z16</f>
        <v>60050</v>
      </c>
      <c r="AE16" s="64"/>
      <c r="AF16" s="64"/>
      <c r="AG16" s="41">
        <f t="shared" si="5"/>
        <v>60050</v>
      </c>
      <c r="AH16" s="65"/>
      <c r="AI16" s="125">
        <f t="shared" si="6"/>
        <v>60050</v>
      </c>
      <c r="AJ16" s="126">
        <f t="shared" ref="AJ16:AJ75" si="9">(Z16+AH16)/W16</f>
        <v>0</v>
      </c>
      <c r="AK16" s="66"/>
      <c r="AL16" s="77">
        <f>W16-Z16</f>
        <v>60050</v>
      </c>
      <c r="AM16" s="141" t="s">
        <v>27</v>
      </c>
      <c r="AN16" s="120">
        <f>Z11/W11</f>
        <v>0.42107965505466416</v>
      </c>
      <c r="AP16">
        <v>2</v>
      </c>
    </row>
    <row r="17" spans="1:42" ht="56.45" customHeight="1" x14ac:dyDescent="0.25">
      <c r="A17" s="30">
        <v>2</v>
      </c>
      <c r="B17" s="31" t="s">
        <v>28</v>
      </c>
      <c r="C17" s="108" t="s">
        <v>111</v>
      </c>
      <c r="D17" s="59">
        <v>200</v>
      </c>
      <c r="E17" s="59">
        <v>1000</v>
      </c>
      <c r="F17" s="59">
        <v>60000</v>
      </c>
      <c r="G17" s="59">
        <v>3200</v>
      </c>
      <c r="H17" s="59">
        <v>4000</v>
      </c>
      <c r="I17" s="59">
        <v>1000</v>
      </c>
      <c r="J17" s="59"/>
      <c r="K17" s="59"/>
      <c r="L17" s="33"/>
      <c r="M17" s="34">
        <v>0</v>
      </c>
      <c r="N17" s="59">
        <v>0</v>
      </c>
      <c r="O17" s="61">
        <v>39029</v>
      </c>
      <c r="P17" s="35"/>
      <c r="Q17" s="35"/>
      <c r="R17" s="35"/>
      <c r="S17" s="60"/>
      <c r="T17" s="35"/>
      <c r="U17" s="35"/>
      <c r="V17" s="35"/>
      <c r="W17" s="32">
        <v>39020</v>
      </c>
      <c r="X17" s="34"/>
      <c r="Y17" s="34"/>
      <c r="Z17" s="38">
        <f t="shared" si="4"/>
        <v>0</v>
      </c>
      <c r="AA17" s="154">
        <f>Z17/W17</f>
        <v>0</v>
      </c>
      <c r="AB17" s="63">
        <f>0%</f>
        <v>0</v>
      </c>
      <c r="AC17" s="63"/>
      <c r="AD17" s="33">
        <f t="shared" si="8"/>
        <v>39020</v>
      </c>
      <c r="AE17" s="64"/>
      <c r="AF17" s="64"/>
      <c r="AG17" s="41">
        <f t="shared" si="5"/>
        <v>39020</v>
      </c>
      <c r="AH17" s="67"/>
      <c r="AI17" s="125">
        <f t="shared" si="6"/>
        <v>39020</v>
      </c>
      <c r="AJ17" s="127">
        <v>0</v>
      </c>
      <c r="AK17" s="67"/>
      <c r="AL17" s="77">
        <f>W17-Z17</f>
        <v>39020</v>
      </c>
      <c r="AM17" s="141" t="s">
        <v>29</v>
      </c>
      <c r="AP17">
        <v>28</v>
      </c>
    </row>
    <row r="18" spans="1:42" ht="19.899999999999999" customHeight="1" x14ac:dyDescent="0.25">
      <c r="A18" s="68" t="s">
        <v>30</v>
      </c>
      <c r="B18" s="46" t="s">
        <v>31</v>
      </c>
      <c r="C18" s="109"/>
      <c r="D18" s="54"/>
      <c r="E18" s="54"/>
      <c r="F18" s="54"/>
      <c r="G18" s="54"/>
      <c r="H18" s="54"/>
      <c r="I18" s="54"/>
      <c r="J18" s="54"/>
      <c r="K18" s="54"/>
      <c r="L18" s="33"/>
      <c r="M18" s="34">
        <v>0</v>
      </c>
      <c r="N18" s="54"/>
      <c r="O18" s="54"/>
      <c r="P18" s="35"/>
      <c r="Q18" s="35"/>
      <c r="R18" s="35"/>
      <c r="S18" s="60"/>
      <c r="T18" s="35"/>
      <c r="U18" s="35"/>
      <c r="V18" s="35"/>
      <c r="W18" s="32">
        <f t="shared" ref="W18:W76" si="10">SUM(O18:V18)</f>
        <v>0</v>
      </c>
      <c r="X18" s="34"/>
      <c r="Y18" s="34"/>
      <c r="Z18" s="38">
        <f t="shared" si="4"/>
        <v>0</v>
      </c>
      <c r="AA18" s="154"/>
      <c r="AB18" s="63"/>
      <c r="AC18" s="63"/>
      <c r="AD18" s="33">
        <f t="shared" si="8"/>
        <v>0</v>
      </c>
      <c r="AE18" s="64"/>
      <c r="AF18" s="64"/>
      <c r="AG18" s="41">
        <f t="shared" si="5"/>
        <v>0</v>
      </c>
      <c r="AH18" s="67"/>
      <c r="AI18" s="125">
        <f t="shared" si="6"/>
        <v>0</v>
      </c>
      <c r="AJ18" s="126"/>
      <c r="AK18" s="67"/>
      <c r="AL18" s="64"/>
      <c r="AM18" s="142"/>
      <c r="AP18">
        <v>1</v>
      </c>
    </row>
    <row r="19" spans="1:42" ht="39" customHeight="1" x14ac:dyDescent="0.25">
      <c r="A19" s="30">
        <v>1</v>
      </c>
      <c r="B19" s="31" t="s">
        <v>32</v>
      </c>
      <c r="C19" s="110" t="s">
        <v>112</v>
      </c>
      <c r="D19" s="59"/>
      <c r="E19" s="59"/>
      <c r="F19" s="59"/>
      <c r="G19" s="59"/>
      <c r="H19" s="59"/>
      <c r="I19" s="59"/>
      <c r="J19" s="59">
        <v>50</v>
      </c>
      <c r="K19" s="59">
        <v>50</v>
      </c>
      <c r="L19" s="33"/>
      <c r="M19" s="34">
        <v>50</v>
      </c>
      <c r="N19" s="59">
        <v>200</v>
      </c>
      <c r="O19" s="61">
        <v>200</v>
      </c>
      <c r="P19" s="35"/>
      <c r="Q19" s="35"/>
      <c r="R19" s="35"/>
      <c r="S19" s="60"/>
      <c r="T19" s="35"/>
      <c r="U19" s="35"/>
      <c r="V19" s="69"/>
      <c r="W19" s="32">
        <f t="shared" si="10"/>
        <v>200</v>
      </c>
      <c r="X19" s="34"/>
      <c r="Y19" s="34"/>
      <c r="Z19" s="38">
        <f t="shared" si="4"/>
        <v>0</v>
      </c>
      <c r="AA19" s="154">
        <f t="shared" ref="AA19:AA21" si="11">Z19/W19</f>
        <v>0</v>
      </c>
      <c r="AB19" s="63">
        <f t="shared" ref="AB19:AB23" si="12">Z19/N19</f>
        <v>0</v>
      </c>
      <c r="AC19" s="63"/>
      <c r="AD19" s="33">
        <f t="shared" si="8"/>
        <v>200</v>
      </c>
      <c r="AE19" s="64"/>
      <c r="AF19" s="64"/>
      <c r="AG19" s="41">
        <f t="shared" si="5"/>
        <v>200</v>
      </c>
      <c r="AH19" s="67"/>
      <c r="AI19" s="125">
        <f t="shared" si="6"/>
        <v>200</v>
      </c>
      <c r="AJ19" s="63" t="e">
        <f>AH19/V19</f>
        <v>#DIV/0!</v>
      </c>
      <c r="AK19" s="67"/>
      <c r="AL19" s="64">
        <f>W19-Z19</f>
        <v>200</v>
      </c>
      <c r="AM19" s="143" t="s">
        <v>33</v>
      </c>
    </row>
    <row r="20" spans="1:42" ht="35.450000000000003" customHeight="1" x14ac:dyDescent="0.25">
      <c r="A20" s="30">
        <v>2</v>
      </c>
      <c r="B20" s="31" t="s">
        <v>34</v>
      </c>
      <c r="C20" s="110">
        <v>8113486</v>
      </c>
      <c r="D20" s="59"/>
      <c r="E20" s="59"/>
      <c r="F20" s="59"/>
      <c r="G20" s="59"/>
      <c r="H20" s="59"/>
      <c r="I20" s="59"/>
      <c r="J20" s="59"/>
      <c r="K20" s="59">
        <v>500</v>
      </c>
      <c r="L20" s="33"/>
      <c r="M20" s="34">
        <v>470.09</v>
      </c>
      <c r="N20" s="59"/>
      <c r="O20" s="35"/>
      <c r="P20" s="35"/>
      <c r="Q20" s="35"/>
      <c r="R20" s="35"/>
      <c r="S20" s="60"/>
      <c r="T20" s="35"/>
      <c r="U20" s="35"/>
      <c r="V20" s="35"/>
      <c r="W20" s="32">
        <f t="shared" si="10"/>
        <v>0</v>
      </c>
      <c r="X20" s="34"/>
      <c r="Y20" s="34"/>
      <c r="Z20" s="38">
        <f t="shared" si="4"/>
        <v>0</v>
      </c>
      <c r="AA20" s="154">
        <v>0</v>
      </c>
      <c r="AB20" s="63">
        <v>0</v>
      </c>
      <c r="AC20" s="63"/>
      <c r="AD20" s="33">
        <f t="shared" si="8"/>
        <v>0</v>
      </c>
      <c r="AE20" s="64"/>
      <c r="AF20" s="64"/>
      <c r="AG20" s="41">
        <f t="shared" si="5"/>
        <v>0</v>
      </c>
      <c r="AH20" s="67"/>
      <c r="AI20" s="125">
        <f t="shared" si="6"/>
        <v>0</v>
      </c>
      <c r="AJ20" s="63">
        <v>0</v>
      </c>
      <c r="AK20" s="67"/>
      <c r="AL20" s="64">
        <f t="shared" ref="AL20:AL23" si="13">W20-Z20</f>
        <v>0</v>
      </c>
      <c r="AM20" s="144" t="s">
        <v>35</v>
      </c>
    </row>
    <row r="21" spans="1:42" ht="42.6" customHeight="1" x14ac:dyDescent="0.25">
      <c r="A21" s="30">
        <v>2</v>
      </c>
      <c r="B21" s="31" t="s">
        <v>36</v>
      </c>
      <c r="C21" s="110">
        <v>8111395</v>
      </c>
      <c r="D21" s="59"/>
      <c r="E21" s="59"/>
      <c r="F21" s="59"/>
      <c r="G21" s="59"/>
      <c r="H21" s="59"/>
      <c r="I21" s="59"/>
      <c r="J21" s="59"/>
      <c r="K21" s="59">
        <v>50</v>
      </c>
      <c r="L21" s="33"/>
      <c r="M21" s="34">
        <v>0</v>
      </c>
      <c r="N21" s="59">
        <v>500</v>
      </c>
      <c r="O21" s="61">
        <v>500</v>
      </c>
      <c r="P21" s="35"/>
      <c r="Q21" s="35"/>
      <c r="R21" s="35"/>
      <c r="S21" s="60"/>
      <c r="T21" s="35"/>
      <c r="U21" s="35"/>
      <c r="V21" s="69"/>
      <c r="W21" s="32">
        <f>SUM(O21:V21)</f>
        <v>500</v>
      </c>
      <c r="X21" s="34"/>
      <c r="Y21" s="34"/>
      <c r="Z21" s="38">
        <f t="shared" si="4"/>
        <v>0</v>
      </c>
      <c r="AA21" s="154">
        <f t="shared" si="11"/>
        <v>0</v>
      </c>
      <c r="AB21" s="63">
        <f t="shared" si="12"/>
        <v>0</v>
      </c>
      <c r="AC21" s="63"/>
      <c r="AD21" s="33">
        <f t="shared" si="8"/>
        <v>500</v>
      </c>
      <c r="AE21" s="64"/>
      <c r="AF21" s="64"/>
      <c r="AG21" s="41">
        <f t="shared" si="5"/>
        <v>500</v>
      </c>
      <c r="AH21" s="67"/>
      <c r="AI21" s="125">
        <f t="shared" si="6"/>
        <v>500</v>
      </c>
      <c r="AJ21" s="63" t="e">
        <f t="shared" ref="AJ21" si="14">AH21/V21</f>
        <v>#DIV/0!</v>
      </c>
      <c r="AK21" s="67"/>
      <c r="AL21" s="64">
        <f t="shared" si="13"/>
        <v>500</v>
      </c>
      <c r="AM21" s="144" t="s">
        <v>37</v>
      </c>
    </row>
    <row r="22" spans="1:42" ht="47.45" customHeight="1" x14ac:dyDescent="0.25">
      <c r="A22" s="30">
        <v>3</v>
      </c>
      <c r="B22" s="31" t="s">
        <v>38</v>
      </c>
      <c r="C22" s="110" t="s">
        <v>113</v>
      </c>
      <c r="D22" s="59"/>
      <c r="E22" s="59"/>
      <c r="F22" s="59"/>
      <c r="G22" s="59"/>
      <c r="H22" s="59"/>
      <c r="I22" s="59"/>
      <c r="J22" s="59">
        <v>500</v>
      </c>
      <c r="K22" s="59">
        <v>1302</v>
      </c>
      <c r="L22" s="33"/>
      <c r="M22" s="34">
        <v>1301.9340000000002</v>
      </c>
      <c r="N22" s="59">
        <v>1000</v>
      </c>
      <c r="O22" s="61">
        <v>1000</v>
      </c>
      <c r="P22" s="35"/>
      <c r="Q22" s="35"/>
      <c r="R22" s="35"/>
      <c r="S22" s="60"/>
      <c r="T22" s="35"/>
      <c r="U22" s="35"/>
      <c r="V22" s="35"/>
      <c r="W22" s="32">
        <f t="shared" si="10"/>
        <v>1000</v>
      </c>
      <c r="X22" s="34"/>
      <c r="Y22" s="34"/>
      <c r="Z22" s="38">
        <f t="shared" si="4"/>
        <v>0</v>
      </c>
      <c r="AA22" s="63">
        <f>Z22/W22</f>
        <v>0</v>
      </c>
      <c r="AB22" s="63">
        <f t="shared" si="12"/>
        <v>0</v>
      </c>
      <c r="AC22" s="63"/>
      <c r="AD22" s="33">
        <f t="shared" si="8"/>
        <v>1000</v>
      </c>
      <c r="AE22" s="64"/>
      <c r="AF22" s="64"/>
      <c r="AG22" s="41">
        <f t="shared" si="5"/>
        <v>1000</v>
      </c>
      <c r="AH22" s="67"/>
      <c r="AI22" s="125">
        <f t="shared" si="6"/>
        <v>1000</v>
      </c>
      <c r="AJ22" s="126">
        <f t="shared" si="9"/>
        <v>0</v>
      </c>
      <c r="AK22" s="67"/>
      <c r="AL22" s="64">
        <f t="shared" si="13"/>
        <v>1000</v>
      </c>
      <c r="AM22" s="144" t="s">
        <v>39</v>
      </c>
    </row>
    <row r="23" spans="1:42" ht="42" customHeight="1" x14ac:dyDescent="0.25">
      <c r="A23" s="30">
        <v>4</v>
      </c>
      <c r="B23" s="31" t="s">
        <v>40</v>
      </c>
      <c r="C23" s="110">
        <v>8111983</v>
      </c>
      <c r="D23" s="59"/>
      <c r="E23" s="59"/>
      <c r="F23" s="59"/>
      <c r="G23" s="59"/>
      <c r="H23" s="59"/>
      <c r="I23" s="59"/>
      <c r="J23" s="59"/>
      <c r="K23" s="59">
        <v>200</v>
      </c>
      <c r="L23" s="33"/>
      <c r="M23" s="34">
        <v>150</v>
      </c>
      <c r="N23" s="59">
        <v>100</v>
      </c>
      <c r="O23" s="61">
        <v>500</v>
      </c>
      <c r="P23" s="35"/>
      <c r="Q23" s="35"/>
      <c r="R23" s="35"/>
      <c r="S23" s="60"/>
      <c r="T23" s="35"/>
      <c r="U23" s="35"/>
      <c r="V23" s="35"/>
      <c r="W23" s="32">
        <f t="shared" si="10"/>
        <v>500</v>
      </c>
      <c r="X23" s="34"/>
      <c r="Y23" s="34"/>
      <c r="Z23" s="38">
        <f t="shared" si="4"/>
        <v>0</v>
      </c>
      <c r="AA23" s="63">
        <v>0</v>
      </c>
      <c r="AB23" s="63">
        <f t="shared" si="12"/>
        <v>0</v>
      </c>
      <c r="AC23" s="63"/>
      <c r="AD23" s="33">
        <f t="shared" si="8"/>
        <v>500</v>
      </c>
      <c r="AE23" s="64"/>
      <c r="AF23" s="64"/>
      <c r="AG23" s="41">
        <f t="shared" si="5"/>
        <v>500</v>
      </c>
      <c r="AH23" s="67"/>
      <c r="AI23" s="125">
        <f t="shared" si="6"/>
        <v>500</v>
      </c>
      <c r="AJ23" s="126">
        <v>0</v>
      </c>
      <c r="AK23" s="67"/>
      <c r="AL23" s="64">
        <f t="shared" si="13"/>
        <v>500</v>
      </c>
      <c r="AM23" s="144" t="s">
        <v>41</v>
      </c>
      <c r="AP23">
        <v>4</v>
      </c>
    </row>
    <row r="24" spans="1:42" ht="33.6" customHeight="1" x14ac:dyDescent="0.25">
      <c r="A24" s="30">
        <v>6</v>
      </c>
      <c r="B24" s="31" t="s">
        <v>42</v>
      </c>
      <c r="C24" s="110">
        <v>7614226</v>
      </c>
      <c r="D24" s="59"/>
      <c r="E24" s="59">
        <v>6624</v>
      </c>
      <c r="F24" s="59">
        <v>125</v>
      </c>
      <c r="G24" s="59"/>
      <c r="H24" s="59">
        <v>6020</v>
      </c>
      <c r="I24" s="59">
        <v>15</v>
      </c>
      <c r="J24" s="59"/>
      <c r="K24" s="59"/>
      <c r="L24" s="33"/>
      <c r="M24" s="34">
        <v>150</v>
      </c>
      <c r="N24" s="59"/>
      <c r="O24" s="35"/>
      <c r="P24" s="35"/>
      <c r="Q24" s="35"/>
      <c r="R24" s="35"/>
      <c r="S24" s="60"/>
      <c r="T24" s="35"/>
      <c r="U24" s="61"/>
      <c r="V24" s="61"/>
      <c r="W24" s="32">
        <f t="shared" si="10"/>
        <v>0</v>
      </c>
      <c r="X24" s="34"/>
      <c r="Y24" s="34"/>
      <c r="Z24" s="38">
        <f t="shared" si="4"/>
        <v>0</v>
      </c>
      <c r="AA24" s="63">
        <v>0</v>
      </c>
      <c r="AB24" s="63">
        <v>0</v>
      </c>
      <c r="AC24" s="63"/>
      <c r="AD24" s="33">
        <f t="shared" si="8"/>
        <v>0</v>
      </c>
      <c r="AE24" s="64"/>
      <c r="AF24" s="64"/>
      <c r="AG24" s="41">
        <f t="shared" si="5"/>
        <v>0</v>
      </c>
      <c r="AH24" s="67"/>
      <c r="AI24" s="125">
        <f t="shared" si="6"/>
        <v>0</v>
      </c>
      <c r="AJ24" s="126">
        <v>0</v>
      </c>
      <c r="AK24" s="67"/>
      <c r="AL24" s="64"/>
      <c r="AM24" s="144" t="s">
        <v>43</v>
      </c>
    </row>
    <row r="25" spans="1:42" ht="30.6" customHeight="1" x14ac:dyDescent="0.25">
      <c r="A25" s="51" t="s">
        <v>44</v>
      </c>
      <c r="B25" s="52" t="s">
        <v>45</v>
      </c>
      <c r="C25" s="110"/>
      <c r="D25" s="59"/>
      <c r="E25" s="59"/>
      <c r="F25" s="59"/>
      <c r="G25" s="59"/>
      <c r="H25" s="59"/>
      <c r="I25" s="59"/>
      <c r="J25" s="59"/>
      <c r="K25" s="59"/>
      <c r="L25" s="33"/>
      <c r="M25" s="33">
        <v>0</v>
      </c>
      <c r="N25" s="59"/>
      <c r="O25" s="60"/>
      <c r="P25" s="35"/>
      <c r="Q25" s="35"/>
      <c r="R25" s="35"/>
      <c r="S25" s="60"/>
      <c r="T25" s="35"/>
      <c r="U25" s="35"/>
      <c r="V25" s="35"/>
      <c r="W25" s="32">
        <f t="shared" si="10"/>
        <v>0</v>
      </c>
      <c r="X25" s="34"/>
      <c r="Y25" s="34"/>
      <c r="Z25" s="38">
        <f t="shared" si="4"/>
        <v>0</v>
      </c>
      <c r="AA25" s="63"/>
      <c r="AB25" s="63"/>
      <c r="AC25" s="63"/>
      <c r="AD25" s="33">
        <f t="shared" si="8"/>
        <v>0</v>
      </c>
      <c r="AE25" s="64"/>
      <c r="AF25" s="64"/>
      <c r="AG25" s="41">
        <f t="shared" si="5"/>
        <v>0</v>
      </c>
      <c r="AH25" s="67"/>
      <c r="AI25" s="125">
        <f t="shared" si="6"/>
        <v>0</v>
      </c>
      <c r="AJ25" s="126"/>
      <c r="AK25" s="67"/>
      <c r="AL25" s="64"/>
      <c r="AM25" s="145"/>
    </row>
    <row r="26" spans="1:42" ht="43.15" customHeight="1" x14ac:dyDescent="0.25">
      <c r="A26" s="30">
        <v>1</v>
      </c>
      <c r="B26" s="31" t="s">
        <v>46</v>
      </c>
      <c r="C26" s="110" t="s">
        <v>114</v>
      </c>
      <c r="D26" s="59"/>
      <c r="E26" s="59"/>
      <c r="F26" s="59"/>
      <c r="G26" s="59"/>
      <c r="H26" s="59"/>
      <c r="I26" s="59"/>
      <c r="J26" s="59">
        <v>50</v>
      </c>
      <c r="K26" s="59">
        <v>1302</v>
      </c>
      <c r="L26" s="33"/>
      <c r="M26" s="34">
        <v>1126.7060000000001</v>
      </c>
      <c r="N26" s="59"/>
      <c r="O26" s="35"/>
      <c r="P26" s="35"/>
      <c r="Q26" s="35"/>
      <c r="R26" s="35"/>
      <c r="S26" s="60"/>
      <c r="T26" s="35"/>
      <c r="U26" s="61"/>
      <c r="V26" s="61"/>
      <c r="W26" s="32">
        <f t="shared" si="10"/>
        <v>0</v>
      </c>
      <c r="X26" s="34"/>
      <c r="Y26" s="34"/>
      <c r="Z26" s="38">
        <f t="shared" si="4"/>
        <v>0</v>
      </c>
      <c r="AA26" s="63">
        <v>0</v>
      </c>
      <c r="AB26" s="63">
        <v>0</v>
      </c>
      <c r="AC26" s="63"/>
      <c r="AD26" s="33">
        <f t="shared" si="8"/>
        <v>0</v>
      </c>
      <c r="AE26" s="64"/>
      <c r="AF26" s="64"/>
      <c r="AG26" s="41">
        <f t="shared" si="5"/>
        <v>0</v>
      </c>
      <c r="AH26" s="67"/>
      <c r="AI26" s="125">
        <f t="shared" si="6"/>
        <v>0</v>
      </c>
      <c r="AJ26" s="126" t="e">
        <f t="shared" si="9"/>
        <v>#DIV/0!</v>
      </c>
      <c r="AK26" s="67"/>
      <c r="AL26" s="64"/>
      <c r="AM26" s="146"/>
    </row>
    <row r="27" spans="1:42" ht="35.450000000000003" customHeight="1" x14ac:dyDescent="0.25">
      <c r="A27" s="30">
        <v>2</v>
      </c>
      <c r="B27" s="31" t="s">
        <v>47</v>
      </c>
      <c r="C27" s="110" t="s">
        <v>115</v>
      </c>
      <c r="D27" s="59"/>
      <c r="E27" s="59"/>
      <c r="F27" s="59"/>
      <c r="G27" s="59"/>
      <c r="H27" s="59"/>
      <c r="I27" s="59"/>
      <c r="J27" s="59">
        <v>50</v>
      </c>
      <c r="K27" s="59">
        <v>1475</v>
      </c>
      <c r="L27" s="33"/>
      <c r="M27" s="34">
        <v>541.702</v>
      </c>
      <c r="N27" s="59"/>
      <c r="O27" s="35"/>
      <c r="P27" s="35"/>
      <c r="Q27" s="35"/>
      <c r="R27" s="35"/>
      <c r="S27" s="60"/>
      <c r="T27" s="35"/>
      <c r="U27" s="61"/>
      <c r="V27" s="61"/>
      <c r="W27" s="32">
        <f t="shared" si="10"/>
        <v>0</v>
      </c>
      <c r="X27" s="34"/>
      <c r="Y27" s="34"/>
      <c r="Z27" s="38">
        <f t="shared" si="4"/>
        <v>0</v>
      </c>
      <c r="AA27" s="63">
        <v>0</v>
      </c>
      <c r="AB27" s="63">
        <v>0</v>
      </c>
      <c r="AC27" s="63"/>
      <c r="AD27" s="33">
        <f t="shared" si="8"/>
        <v>0</v>
      </c>
      <c r="AE27" s="64"/>
      <c r="AF27" s="64"/>
      <c r="AG27" s="41">
        <f t="shared" si="5"/>
        <v>0</v>
      </c>
      <c r="AH27" s="67"/>
      <c r="AI27" s="125">
        <f t="shared" si="6"/>
        <v>0</v>
      </c>
      <c r="AJ27" s="126" t="e">
        <f t="shared" si="9"/>
        <v>#DIV/0!</v>
      </c>
      <c r="AK27" s="67"/>
      <c r="AL27" s="64"/>
      <c r="AM27" s="146"/>
    </row>
    <row r="28" spans="1:42" ht="35.450000000000003" customHeight="1" x14ac:dyDescent="0.25">
      <c r="A28" s="30">
        <v>3</v>
      </c>
      <c r="B28" s="31" t="s">
        <v>48</v>
      </c>
      <c r="C28" s="110" t="s">
        <v>116</v>
      </c>
      <c r="D28" s="59"/>
      <c r="E28" s="59"/>
      <c r="F28" s="59"/>
      <c r="G28" s="59"/>
      <c r="H28" s="59"/>
      <c r="I28" s="59"/>
      <c r="J28" s="59">
        <v>50</v>
      </c>
      <c r="K28" s="59">
        <v>2095</v>
      </c>
      <c r="L28" s="33"/>
      <c r="M28" s="34">
        <v>1950.028</v>
      </c>
      <c r="N28" s="59"/>
      <c r="O28" s="35"/>
      <c r="P28" s="35"/>
      <c r="Q28" s="35"/>
      <c r="R28" s="35"/>
      <c r="S28" s="60"/>
      <c r="T28" s="35"/>
      <c r="U28" s="61"/>
      <c r="V28" s="61"/>
      <c r="W28" s="32">
        <f t="shared" si="10"/>
        <v>0</v>
      </c>
      <c r="X28" s="34"/>
      <c r="Y28" s="34"/>
      <c r="Z28" s="38">
        <f t="shared" si="4"/>
        <v>0</v>
      </c>
      <c r="AA28" s="63">
        <v>0</v>
      </c>
      <c r="AB28" s="63">
        <v>0</v>
      </c>
      <c r="AC28" s="63"/>
      <c r="AD28" s="33">
        <f t="shared" si="8"/>
        <v>0</v>
      </c>
      <c r="AE28" s="64"/>
      <c r="AF28" s="64"/>
      <c r="AG28" s="41">
        <f t="shared" si="5"/>
        <v>0</v>
      </c>
      <c r="AH28" s="67"/>
      <c r="AI28" s="125">
        <f t="shared" si="6"/>
        <v>0</v>
      </c>
      <c r="AJ28" s="126" t="e">
        <f t="shared" si="9"/>
        <v>#DIV/0!</v>
      </c>
      <c r="AK28" s="67"/>
      <c r="AL28" s="64"/>
      <c r="AM28" s="146"/>
    </row>
    <row r="29" spans="1:42" ht="45.6" customHeight="1" x14ac:dyDescent="0.25">
      <c r="A29" s="30">
        <v>4</v>
      </c>
      <c r="B29" s="31" t="s">
        <v>49</v>
      </c>
      <c r="C29" s="110" t="s">
        <v>117</v>
      </c>
      <c r="D29" s="59"/>
      <c r="E29" s="59"/>
      <c r="F29" s="59"/>
      <c r="G29" s="59"/>
      <c r="H29" s="59"/>
      <c r="I29" s="59"/>
      <c r="J29" s="59">
        <v>50</v>
      </c>
      <c r="K29" s="59">
        <v>6747</v>
      </c>
      <c r="L29" s="33"/>
      <c r="M29" s="34">
        <v>6744.9299999999994</v>
      </c>
      <c r="N29" s="59"/>
      <c r="O29" s="35"/>
      <c r="P29" s="35"/>
      <c r="Q29" s="35"/>
      <c r="R29" s="35"/>
      <c r="S29" s="60"/>
      <c r="T29" s="35"/>
      <c r="U29" s="61"/>
      <c r="V29" s="61"/>
      <c r="W29" s="32">
        <f t="shared" si="10"/>
        <v>0</v>
      </c>
      <c r="X29" s="34"/>
      <c r="Y29" s="34"/>
      <c r="Z29" s="38">
        <f t="shared" si="4"/>
        <v>0</v>
      </c>
      <c r="AA29" s="63">
        <v>0</v>
      </c>
      <c r="AB29" s="63">
        <v>0</v>
      </c>
      <c r="AC29" s="63"/>
      <c r="AD29" s="33">
        <f t="shared" si="8"/>
        <v>0</v>
      </c>
      <c r="AE29" s="64"/>
      <c r="AF29" s="64"/>
      <c r="AG29" s="41">
        <f t="shared" si="5"/>
        <v>0</v>
      </c>
      <c r="AH29" s="67"/>
      <c r="AI29" s="125">
        <f t="shared" si="6"/>
        <v>0</v>
      </c>
      <c r="AJ29" s="126" t="e">
        <f t="shared" si="9"/>
        <v>#DIV/0!</v>
      </c>
      <c r="AK29" s="67"/>
      <c r="AL29" s="64"/>
      <c r="AM29" s="147"/>
    </row>
    <row r="30" spans="1:42" ht="42" customHeight="1" x14ac:dyDescent="0.25">
      <c r="A30" s="30">
        <v>5</v>
      </c>
      <c r="B30" s="31" t="s">
        <v>50</v>
      </c>
      <c r="C30" s="110" t="s">
        <v>118</v>
      </c>
      <c r="D30" s="59"/>
      <c r="E30" s="59"/>
      <c r="F30" s="59"/>
      <c r="G30" s="59"/>
      <c r="H30" s="59"/>
      <c r="I30" s="59"/>
      <c r="J30" s="59">
        <v>50</v>
      </c>
      <c r="K30" s="59">
        <v>962</v>
      </c>
      <c r="L30" s="33"/>
      <c r="M30" s="34">
        <v>861</v>
      </c>
      <c r="N30" s="59"/>
      <c r="O30" s="35"/>
      <c r="P30" s="35"/>
      <c r="Q30" s="35"/>
      <c r="R30" s="35"/>
      <c r="S30" s="60"/>
      <c r="T30" s="35"/>
      <c r="U30" s="61"/>
      <c r="V30" s="61"/>
      <c r="W30" s="32">
        <f t="shared" si="10"/>
        <v>0</v>
      </c>
      <c r="X30" s="34"/>
      <c r="Y30" s="34"/>
      <c r="Z30" s="38">
        <f t="shared" si="4"/>
        <v>0</v>
      </c>
      <c r="AA30" s="63">
        <v>0</v>
      </c>
      <c r="AB30" s="63">
        <v>0</v>
      </c>
      <c r="AC30" s="63"/>
      <c r="AD30" s="33">
        <f t="shared" si="8"/>
        <v>0</v>
      </c>
      <c r="AE30" s="64"/>
      <c r="AF30" s="64"/>
      <c r="AG30" s="41">
        <f t="shared" si="5"/>
        <v>0</v>
      </c>
      <c r="AH30" s="67"/>
      <c r="AI30" s="125">
        <f t="shared" si="6"/>
        <v>0</v>
      </c>
      <c r="AJ30" s="126" t="e">
        <f t="shared" si="9"/>
        <v>#DIV/0!</v>
      </c>
      <c r="AK30" s="67"/>
      <c r="AL30" s="64"/>
      <c r="AM30" s="146"/>
    </row>
    <row r="31" spans="1:42" ht="63.6" customHeight="1" x14ac:dyDescent="0.25">
      <c r="A31" s="30">
        <v>6</v>
      </c>
      <c r="B31" s="31" t="s">
        <v>51</v>
      </c>
      <c r="C31" s="110" t="s">
        <v>119</v>
      </c>
      <c r="D31" s="59"/>
      <c r="E31" s="59"/>
      <c r="F31" s="59"/>
      <c r="G31" s="59"/>
      <c r="H31" s="59"/>
      <c r="I31" s="59"/>
      <c r="J31" s="59">
        <v>50</v>
      </c>
      <c r="K31" s="59">
        <v>6343</v>
      </c>
      <c r="L31" s="33"/>
      <c r="M31" s="34">
        <v>5837.2020000000002</v>
      </c>
      <c r="N31" s="59"/>
      <c r="O31" s="35"/>
      <c r="P31" s="35"/>
      <c r="Q31" s="35"/>
      <c r="R31" s="35"/>
      <c r="S31" s="60"/>
      <c r="T31" s="35"/>
      <c r="U31" s="61"/>
      <c r="V31" s="61"/>
      <c r="W31" s="32">
        <f t="shared" si="10"/>
        <v>0</v>
      </c>
      <c r="X31" s="34"/>
      <c r="Y31" s="34"/>
      <c r="Z31" s="38">
        <f t="shared" si="4"/>
        <v>0</v>
      </c>
      <c r="AA31" s="63">
        <v>0</v>
      </c>
      <c r="AB31" s="63">
        <v>0</v>
      </c>
      <c r="AC31" s="63"/>
      <c r="AD31" s="33">
        <f t="shared" si="8"/>
        <v>0</v>
      </c>
      <c r="AE31" s="64"/>
      <c r="AF31" s="64"/>
      <c r="AG31" s="41">
        <f t="shared" si="5"/>
        <v>0</v>
      </c>
      <c r="AH31" s="67"/>
      <c r="AI31" s="125">
        <f t="shared" si="6"/>
        <v>0</v>
      </c>
      <c r="AJ31" s="126" t="e">
        <f t="shared" si="9"/>
        <v>#DIV/0!</v>
      </c>
      <c r="AK31" s="67"/>
      <c r="AL31" s="64"/>
      <c r="AM31" s="146"/>
    </row>
    <row r="32" spans="1:42" ht="45" customHeight="1" x14ac:dyDescent="0.25">
      <c r="A32" s="30">
        <v>7</v>
      </c>
      <c r="B32" s="31" t="s">
        <v>52</v>
      </c>
      <c r="C32" s="110" t="s">
        <v>120</v>
      </c>
      <c r="D32" s="59"/>
      <c r="E32" s="59"/>
      <c r="F32" s="59"/>
      <c r="G32" s="59"/>
      <c r="H32" s="59"/>
      <c r="I32" s="59"/>
      <c r="J32" s="59">
        <v>50</v>
      </c>
      <c r="K32" s="59">
        <v>7665</v>
      </c>
      <c r="L32" s="33"/>
      <c r="M32" s="34">
        <v>7539.85</v>
      </c>
      <c r="N32" s="59"/>
      <c r="O32" s="35"/>
      <c r="P32" s="35"/>
      <c r="Q32" s="35"/>
      <c r="R32" s="35"/>
      <c r="S32" s="60"/>
      <c r="T32" s="35"/>
      <c r="U32" s="61"/>
      <c r="V32" s="61"/>
      <c r="W32" s="32">
        <f t="shared" si="10"/>
        <v>0</v>
      </c>
      <c r="X32" s="34"/>
      <c r="Y32" s="34"/>
      <c r="Z32" s="38">
        <f t="shared" si="4"/>
        <v>0</v>
      </c>
      <c r="AA32" s="63">
        <v>0</v>
      </c>
      <c r="AB32" s="63">
        <v>0</v>
      </c>
      <c r="AC32" s="63"/>
      <c r="AD32" s="33">
        <f t="shared" si="8"/>
        <v>0</v>
      </c>
      <c r="AE32" s="64"/>
      <c r="AF32" s="64"/>
      <c r="AG32" s="41">
        <f t="shared" si="5"/>
        <v>0</v>
      </c>
      <c r="AH32" s="67"/>
      <c r="AI32" s="125">
        <f t="shared" si="6"/>
        <v>0</v>
      </c>
      <c r="AJ32" s="126" t="e">
        <f t="shared" si="9"/>
        <v>#DIV/0!</v>
      </c>
      <c r="AK32" s="67"/>
      <c r="AL32" s="64"/>
      <c r="AM32" s="146"/>
    </row>
    <row r="33" spans="1:42" ht="58.9" customHeight="1" x14ac:dyDescent="0.25">
      <c r="A33" s="30">
        <v>8</v>
      </c>
      <c r="B33" s="31" t="s">
        <v>53</v>
      </c>
      <c r="C33" s="110" t="s">
        <v>121</v>
      </c>
      <c r="D33" s="59"/>
      <c r="E33" s="59"/>
      <c r="F33" s="59"/>
      <c r="G33" s="59"/>
      <c r="H33" s="59"/>
      <c r="I33" s="59"/>
      <c r="J33" s="59">
        <v>50</v>
      </c>
      <c r="K33" s="59">
        <v>7470</v>
      </c>
      <c r="L33" s="33"/>
      <c r="M33" s="34">
        <v>7085.09</v>
      </c>
      <c r="N33" s="59"/>
      <c r="O33" s="35"/>
      <c r="P33" s="35"/>
      <c r="Q33" s="35"/>
      <c r="R33" s="35"/>
      <c r="S33" s="60"/>
      <c r="T33" s="35"/>
      <c r="U33" s="61"/>
      <c r="V33" s="61"/>
      <c r="W33" s="32">
        <f t="shared" si="10"/>
        <v>0</v>
      </c>
      <c r="X33" s="34"/>
      <c r="Y33" s="34"/>
      <c r="Z33" s="38">
        <f t="shared" si="4"/>
        <v>0</v>
      </c>
      <c r="AA33" s="63">
        <v>0</v>
      </c>
      <c r="AB33" s="63">
        <v>0</v>
      </c>
      <c r="AC33" s="63"/>
      <c r="AD33" s="33">
        <f t="shared" si="8"/>
        <v>0</v>
      </c>
      <c r="AE33" s="64"/>
      <c r="AF33" s="64"/>
      <c r="AG33" s="41">
        <f t="shared" si="5"/>
        <v>0</v>
      </c>
      <c r="AH33" s="67"/>
      <c r="AI33" s="125">
        <f t="shared" si="6"/>
        <v>0</v>
      </c>
      <c r="AJ33" s="126" t="e">
        <f t="shared" si="9"/>
        <v>#DIV/0!</v>
      </c>
      <c r="AK33" s="67"/>
      <c r="AL33" s="64"/>
      <c r="AM33" s="146"/>
    </row>
    <row r="34" spans="1:42" ht="43.9" customHeight="1" x14ac:dyDescent="0.25">
      <c r="A34" s="30">
        <v>9</v>
      </c>
      <c r="B34" s="31" t="s">
        <v>54</v>
      </c>
      <c r="C34" s="111" t="s">
        <v>122</v>
      </c>
      <c r="D34" s="59"/>
      <c r="E34" s="59"/>
      <c r="F34" s="59"/>
      <c r="G34" s="59"/>
      <c r="H34" s="59"/>
      <c r="I34" s="59"/>
      <c r="J34" s="59">
        <v>50</v>
      </c>
      <c r="K34" s="59">
        <v>2895</v>
      </c>
      <c r="L34" s="33"/>
      <c r="M34" s="34">
        <v>2709.9929999999999</v>
      </c>
      <c r="N34" s="59"/>
      <c r="O34" s="35"/>
      <c r="P34" s="35"/>
      <c r="Q34" s="35"/>
      <c r="R34" s="35"/>
      <c r="S34" s="60"/>
      <c r="T34" s="35"/>
      <c r="U34" s="61"/>
      <c r="V34" s="61"/>
      <c r="W34" s="32">
        <f t="shared" si="10"/>
        <v>0</v>
      </c>
      <c r="X34" s="34"/>
      <c r="Y34" s="34"/>
      <c r="Z34" s="38">
        <f t="shared" si="4"/>
        <v>0</v>
      </c>
      <c r="AA34" s="63">
        <v>0</v>
      </c>
      <c r="AB34" s="63">
        <v>0</v>
      </c>
      <c r="AC34" s="63"/>
      <c r="AD34" s="33">
        <f t="shared" si="8"/>
        <v>0</v>
      </c>
      <c r="AE34" s="64"/>
      <c r="AF34" s="64"/>
      <c r="AG34" s="41">
        <f t="shared" si="5"/>
        <v>0</v>
      </c>
      <c r="AH34" s="67"/>
      <c r="AI34" s="125">
        <f t="shared" si="6"/>
        <v>0</v>
      </c>
      <c r="AJ34" s="126" t="e">
        <f t="shared" si="9"/>
        <v>#DIV/0!</v>
      </c>
      <c r="AK34" s="67"/>
      <c r="AL34" s="64"/>
      <c r="AM34" s="146"/>
    </row>
    <row r="35" spans="1:42" ht="41.45" customHeight="1" x14ac:dyDescent="0.25">
      <c r="A35" s="30">
        <v>10</v>
      </c>
      <c r="B35" s="31" t="s">
        <v>55</v>
      </c>
      <c r="C35" s="110" t="s">
        <v>123</v>
      </c>
      <c r="D35" s="59"/>
      <c r="E35" s="59"/>
      <c r="F35" s="59"/>
      <c r="G35" s="59"/>
      <c r="H35" s="59"/>
      <c r="I35" s="59"/>
      <c r="J35" s="59">
        <v>50</v>
      </c>
      <c r="K35" s="59">
        <v>2750</v>
      </c>
      <c r="L35" s="33"/>
      <c r="M35" s="34">
        <v>1657.2360000000001</v>
      </c>
      <c r="N35" s="59"/>
      <c r="O35" s="35"/>
      <c r="P35" s="35"/>
      <c r="Q35" s="35"/>
      <c r="R35" s="35"/>
      <c r="S35" s="60"/>
      <c r="T35" s="35"/>
      <c r="U35" s="61"/>
      <c r="V35" s="61"/>
      <c r="W35" s="32">
        <f t="shared" si="10"/>
        <v>0</v>
      </c>
      <c r="X35" s="34"/>
      <c r="Y35" s="34"/>
      <c r="Z35" s="38">
        <f t="shared" si="4"/>
        <v>0</v>
      </c>
      <c r="AA35" s="63">
        <v>0</v>
      </c>
      <c r="AB35" s="63">
        <v>0</v>
      </c>
      <c r="AC35" s="63"/>
      <c r="AD35" s="33">
        <f t="shared" si="8"/>
        <v>0</v>
      </c>
      <c r="AE35" s="64"/>
      <c r="AF35" s="64"/>
      <c r="AG35" s="41">
        <f t="shared" si="5"/>
        <v>0</v>
      </c>
      <c r="AH35" s="67"/>
      <c r="AI35" s="125">
        <f t="shared" si="6"/>
        <v>0</v>
      </c>
      <c r="AJ35" s="126" t="e">
        <f t="shared" si="9"/>
        <v>#DIV/0!</v>
      </c>
      <c r="AK35" s="67"/>
      <c r="AL35" s="64"/>
      <c r="AM35" s="148"/>
    </row>
    <row r="36" spans="1:42" ht="41.45" customHeight="1" x14ac:dyDescent="0.25">
      <c r="A36" s="30">
        <v>11</v>
      </c>
      <c r="B36" s="31" t="s">
        <v>56</v>
      </c>
      <c r="C36" s="110" t="s">
        <v>124</v>
      </c>
      <c r="D36" s="59"/>
      <c r="E36" s="59"/>
      <c r="F36" s="59"/>
      <c r="G36" s="59"/>
      <c r="H36" s="59"/>
      <c r="I36" s="59"/>
      <c r="J36" s="59">
        <v>50</v>
      </c>
      <c r="K36" s="59">
        <v>3870</v>
      </c>
      <c r="L36" s="33"/>
      <c r="M36" s="34">
        <v>3616.1839999999997</v>
      </c>
      <c r="N36" s="59"/>
      <c r="O36" s="35"/>
      <c r="P36" s="35"/>
      <c r="Q36" s="35"/>
      <c r="R36" s="35"/>
      <c r="S36" s="60"/>
      <c r="T36" s="35"/>
      <c r="U36" s="72"/>
      <c r="V36" s="72"/>
      <c r="W36" s="32">
        <f t="shared" si="10"/>
        <v>0</v>
      </c>
      <c r="X36" s="34"/>
      <c r="Y36" s="34"/>
      <c r="Z36" s="38">
        <f t="shared" si="4"/>
        <v>0</v>
      </c>
      <c r="AA36" s="63">
        <v>0</v>
      </c>
      <c r="AB36" s="63">
        <v>0</v>
      </c>
      <c r="AC36" s="63"/>
      <c r="AD36" s="33">
        <f t="shared" si="8"/>
        <v>0</v>
      </c>
      <c r="AE36" s="64"/>
      <c r="AF36" s="64"/>
      <c r="AG36" s="41">
        <f t="shared" si="5"/>
        <v>0</v>
      </c>
      <c r="AH36" s="67"/>
      <c r="AI36" s="125">
        <f t="shared" si="6"/>
        <v>0</v>
      </c>
      <c r="AJ36" s="126" t="e">
        <f t="shared" si="9"/>
        <v>#DIV/0!</v>
      </c>
      <c r="AK36" s="67"/>
      <c r="AL36" s="64"/>
      <c r="AM36" s="146"/>
    </row>
    <row r="37" spans="1:42" ht="57" customHeight="1" x14ac:dyDescent="0.25">
      <c r="A37" s="30">
        <v>12</v>
      </c>
      <c r="B37" s="31" t="s">
        <v>57</v>
      </c>
      <c r="C37" s="110" t="s">
        <v>125</v>
      </c>
      <c r="D37" s="59"/>
      <c r="E37" s="59"/>
      <c r="F37" s="59"/>
      <c r="G37" s="59"/>
      <c r="H37" s="59"/>
      <c r="I37" s="59"/>
      <c r="J37" s="59">
        <v>50</v>
      </c>
      <c r="K37" s="59">
        <v>4992</v>
      </c>
      <c r="L37" s="33"/>
      <c r="M37" s="34">
        <v>4417.5219999999999</v>
      </c>
      <c r="N37" s="59"/>
      <c r="O37" s="35"/>
      <c r="P37" s="35"/>
      <c r="Q37" s="35"/>
      <c r="R37" s="35"/>
      <c r="S37" s="60"/>
      <c r="T37" s="35"/>
      <c r="U37" s="61"/>
      <c r="V37" s="61"/>
      <c r="W37" s="32">
        <f t="shared" si="10"/>
        <v>0</v>
      </c>
      <c r="X37" s="34"/>
      <c r="Y37" s="34"/>
      <c r="Z37" s="38">
        <f t="shared" si="4"/>
        <v>0</v>
      </c>
      <c r="AA37" s="63">
        <v>0</v>
      </c>
      <c r="AB37" s="63">
        <v>0</v>
      </c>
      <c r="AC37" s="63"/>
      <c r="AD37" s="33">
        <f t="shared" si="8"/>
        <v>0</v>
      </c>
      <c r="AE37" s="64"/>
      <c r="AF37" s="64"/>
      <c r="AG37" s="41">
        <f t="shared" si="5"/>
        <v>0</v>
      </c>
      <c r="AH37" s="67"/>
      <c r="AI37" s="125">
        <f t="shared" si="6"/>
        <v>0</v>
      </c>
      <c r="AJ37" s="126" t="e">
        <f t="shared" si="9"/>
        <v>#DIV/0!</v>
      </c>
      <c r="AK37" s="67"/>
      <c r="AL37" s="64"/>
      <c r="AM37" s="146"/>
    </row>
    <row r="38" spans="1:42" ht="63.6" customHeight="1" x14ac:dyDescent="0.25">
      <c r="A38" s="30">
        <v>13</v>
      </c>
      <c r="B38" s="31" t="s">
        <v>58</v>
      </c>
      <c r="C38" s="111" t="s">
        <v>126</v>
      </c>
      <c r="D38" s="59"/>
      <c r="E38" s="59"/>
      <c r="F38" s="59"/>
      <c r="G38" s="59"/>
      <c r="H38" s="59"/>
      <c r="I38" s="59"/>
      <c r="J38" s="59">
        <v>50</v>
      </c>
      <c r="K38" s="59">
        <v>4765</v>
      </c>
      <c r="L38" s="33"/>
      <c r="M38" s="34">
        <v>4423.58</v>
      </c>
      <c r="N38" s="59"/>
      <c r="O38" s="35"/>
      <c r="P38" s="35"/>
      <c r="Q38" s="35"/>
      <c r="R38" s="35"/>
      <c r="S38" s="60"/>
      <c r="T38" s="35"/>
      <c r="U38" s="61"/>
      <c r="V38" s="61"/>
      <c r="W38" s="32">
        <f t="shared" si="10"/>
        <v>0</v>
      </c>
      <c r="X38" s="34"/>
      <c r="Y38" s="34"/>
      <c r="Z38" s="38">
        <f t="shared" si="4"/>
        <v>0</v>
      </c>
      <c r="AA38" s="63">
        <v>0</v>
      </c>
      <c r="AB38" s="63">
        <v>0</v>
      </c>
      <c r="AC38" s="63"/>
      <c r="AD38" s="33">
        <f t="shared" si="8"/>
        <v>0</v>
      </c>
      <c r="AE38" s="64"/>
      <c r="AF38" s="64"/>
      <c r="AG38" s="41">
        <f t="shared" si="5"/>
        <v>0</v>
      </c>
      <c r="AH38" s="67"/>
      <c r="AI38" s="125">
        <f t="shared" si="6"/>
        <v>0</v>
      </c>
      <c r="AJ38" s="126" t="e">
        <f t="shared" si="9"/>
        <v>#DIV/0!</v>
      </c>
      <c r="AK38" s="67"/>
      <c r="AL38" s="64"/>
      <c r="AM38" s="146"/>
    </row>
    <row r="39" spans="1:42" ht="55.15" customHeight="1" x14ac:dyDescent="0.25">
      <c r="A39" s="30">
        <v>1</v>
      </c>
      <c r="B39" s="31" t="s">
        <v>59</v>
      </c>
      <c r="C39" s="110" t="s">
        <v>127</v>
      </c>
      <c r="D39" s="59"/>
      <c r="E39" s="59"/>
      <c r="F39" s="59"/>
      <c r="G39" s="59"/>
      <c r="H39" s="59"/>
      <c r="I39" s="59"/>
      <c r="J39" s="59">
        <v>50</v>
      </c>
      <c r="K39" s="59">
        <v>800</v>
      </c>
      <c r="L39" s="33"/>
      <c r="M39" s="34">
        <v>794.4</v>
      </c>
      <c r="N39" s="59">
        <v>20</v>
      </c>
      <c r="O39" s="61">
        <v>20</v>
      </c>
      <c r="P39" s="35"/>
      <c r="Q39" s="35"/>
      <c r="R39" s="35"/>
      <c r="S39" s="60"/>
      <c r="T39" s="35"/>
      <c r="U39" s="61"/>
      <c r="V39" s="62"/>
      <c r="W39" s="32">
        <f t="shared" si="10"/>
        <v>20</v>
      </c>
      <c r="X39" s="34"/>
      <c r="Y39" s="34"/>
      <c r="Z39" s="38">
        <f t="shared" si="4"/>
        <v>0</v>
      </c>
      <c r="AA39" s="63">
        <f t="shared" ref="AA39" si="15">Z39/W39</f>
        <v>0</v>
      </c>
      <c r="AB39" s="63">
        <f t="shared" ref="AB39" si="16">Z39/N39</f>
        <v>0</v>
      </c>
      <c r="AC39" s="116">
        <v>567</v>
      </c>
      <c r="AD39" s="33">
        <f t="shared" si="8"/>
        <v>20</v>
      </c>
      <c r="AE39" s="64"/>
      <c r="AF39" s="64"/>
      <c r="AG39" s="41">
        <f t="shared" si="5"/>
        <v>20</v>
      </c>
      <c r="AH39" s="65"/>
      <c r="AI39" s="125">
        <f t="shared" si="6"/>
        <v>20</v>
      </c>
      <c r="AJ39" s="126">
        <f t="shared" si="9"/>
        <v>0</v>
      </c>
      <c r="AK39" s="121"/>
      <c r="AL39" s="157">
        <f>W39-Z39</f>
        <v>20</v>
      </c>
      <c r="AM39" s="146"/>
    </row>
    <row r="40" spans="1:42" ht="50.45" customHeight="1" x14ac:dyDescent="0.25">
      <c r="A40" s="30">
        <v>2</v>
      </c>
      <c r="B40" s="31" t="s">
        <v>60</v>
      </c>
      <c r="C40" s="110" t="s">
        <v>128</v>
      </c>
      <c r="D40" s="59"/>
      <c r="E40" s="59"/>
      <c r="F40" s="59"/>
      <c r="G40" s="59"/>
      <c r="H40" s="59"/>
      <c r="I40" s="59"/>
      <c r="J40" s="59"/>
      <c r="K40" s="59">
        <v>970357</v>
      </c>
      <c r="L40" s="33"/>
      <c r="M40" s="34">
        <v>960094.85</v>
      </c>
      <c r="N40" s="59">
        <v>61243</v>
      </c>
      <c r="O40" s="61">
        <v>61243</v>
      </c>
      <c r="P40" s="35"/>
      <c r="Q40" s="35"/>
      <c r="R40" s="35"/>
      <c r="S40" s="60"/>
      <c r="T40" s="35"/>
      <c r="U40" s="35"/>
      <c r="V40" s="69"/>
      <c r="W40" s="32">
        <f t="shared" si="10"/>
        <v>61243</v>
      </c>
      <c r="X40" s="34"/>
      <c r="Y40" s="34"/>
      <c r="Z40" s="38">
        <f t="shared" si="4"/>
        <v>0</v>
      </c>
      <c r="AA40" s="63">
        <f t="shared" ref="AA40:AA42" si="17">Z40/W40</f>
        <v>0</v>
      </c>
      <c r="AB40" s="63">
        <f>Z40/W40</f>
        <v>0</v>
      </c>
      <c r="AC40" s="113"/>
      <c r="AD40" s="33">
        <f t="shared" si="8"/>
        <v>61243</v>
      </c>
      <c r="AE40" s="64"/>
      <c r="AF40" s="64"/>
      <c r="AG40" s="41">
        <f t="shared" si="5"/>
        <v>61243</v>
      </c>
      <c r="AH40" s="73" t="s">
        <v>148</v>
      </c>
      <c r="AI40" s="125">
        <f t="shared" si="6"/>
        <v>58243</v>
      </c>
      <c r="AJ40" s="126">
        <f t="shared" si="9"/>
        <v>4.8985190144179742E-2</v>
      </c>
      <c r="AK40" s="74"/>
      <c r="AL40" s="157">
        <f t="shared" ref="AL40:AL42" si="18">W40-Z40</f>
        <v>61243</v>
      </c>
      <c r="AM40" s="147" t="s">
        <v>61</v>
      </c>
    </row>
    <row r="41" spans="1:42" ht="69.599999999999994" customHeight="1" x14ac:dyDescent="0.25">
      <c r="A41" s="30">
        <v>3</v>
      </c>
      <c r="B41" s="31" t="s">
        <v>62</v>
      </c>
      <c r="C41" s="110">
        <v>8112228</v>
      </c>
      <c r="D41" s="59"/>
      <c r="E41" s="59"/>
      <c r="F41" s="59"/>
      <c r="G41" s="59"/>
      <c r="H41" s="59"/>
      <c r="I41" s="59"/>
      <c r="J41" s="59"/>
      <c r="K41" s="59">
        <v>250</v>
      </c>
      <c r="L41" s="33"/>
      <c r="M41" s="34">
        <v>250</v>
      </c>
      <c r="N41" s="59">
        <v>36800</v>
      </c>
      <c r="O41" s="61">
        <v>36800</v>
      </c>
      <c r="P41" s="35"/>
      <c r="Q41" s="35"/>
      <c r="R41" s="35"/>
      <c r="S41" s="60"/>
      <c r="T41" s="35"/>
      <c r="U41" s="61"/>
      <c r="V41" s="62"/>
      <c r="W41" s="32">
        <f t="shared" si="10"/>
        <v>36800</v>
      </c>
      <c r="X41" s="34">
        <v>4249</v>
      </c>
      <c r="Y41" s="34"/>
      <c r="Z41" s="38">
        <v>4249</v>
      </c>
      <c r="AA41" s="63">
        <f t="shared" si="17"/>
        <v>0.11546195652173913</v>
      </c>
      <c r="AB41" s="63">
        <f t="shared" ref="AB41" si="19">Z41/N41</f>
        <v>0.11546195652173913</v>
      </c>
      <c r="AC41" s="114">
        <v>5794</v>
      </c>
      <c r="AD41" s="33">
        <f t="shared" si="8"/>
        <v>32551</v>
      </c>
      <c r="AE41" s="64"/>
      <c r="AF41" s="64"/>
      <c r="AG41" s="41">
        <f t="shared" si="5"/>
        <v>32551</v>
      </c>
      <c r="AH41" s="123">
        <v>20000</v>
      </c>
      <c r="AI41" s="125">
        <f t="shared" si="6"/>
        <v>12551</v>
      </c>
      <c r="AJ41" s="126">
        <f t="shared" si="9"/>
        <v>0.65894021739130437</v>
      </c>
      <c r="AK41" s="77"/>
      <c r="AL41" s="157">
        <f t="shared" si="18"/>
        <v>32551</v>
      </c>
      <c r="AM41" s="149"/>
      <c r="AO41" s="18">
        <f>Z41-24656</f>
        <v>-20407</v>
      </c>
    </row>
    <row r="42" spans="1:42" ht="46.9" customHeight="1" x14ac:dyDescent="0.25">
      <c r="A42" s="30">
        <v>4</v>
      </c>
      <c r="B42" s="31" t="s">
        <v>63</v>
      </c>
      <c r="C42" s="110" t="s">
        <v>129</v>
      </c>
      <c r="D42" s="59"/>
      <c r="E42" s="59"/>
      <c r="F42" s="59"/>
      <c r="G42" s="59"/>
      <c r="H42" s="59"/>
      <c r="I42" s="59"/>
      <c r="J42" s="59">
        <v>50</v>
      </c>
      <c r="K42" s="59">
        <v>2998</v>
      </c>
      <c r="L42" s="33"/>
      <c r="M42" s="34">
        <v>2248.2619999999997</v>
      </c>
      <c r="N42" s="59">
        <v>800</v>
      </c>
      <c r="O42" s="61">
        <v>3288</v>
      </c>
      <c r="P42" s="35"/>
      <c r="Q42" s="35"/>
      <c r="R42" s="35"/>
      <c r="S42" s="60"/>
      <c r="T42" s="35"/>
      <c r="U42" s="61"/>
      <c r="V42" s="62"/>
      <c r="W42" s="32">
        <f t="shared" si="10"/>
        <v>3288</v>
      </c>
      <c r="X42" s="34">
        <v>2292.67</v>
      </c>
      <c r="Y42" s="133"/>
      <c r="Z42" s="38">
        <f>SUM(X42:Y42)</f>
        <v>2292.67</v>
      </c>
      <c r="AA42" s="63">
        <f t="shared" si="17"/>
        <v>0.69728406326034065</v>
      </c>
      <c r="AB42" s="63">
        <f>Z42/N42</f>
        <v>2.8658375</v>
      </c>
      <c r="AC42" s="114">
        <v>5547</v>
      </c>
      <c r="AD42" s="33">
        <f t="shared" si="8"/>
        <v>995.32999999999993</v>
      </c>
      <c r="AE42" s="64"/>
      <c r="AF42" s="64"/>
      <c r="AG42" s="41">
        <f t="shared" si="5"/>
        <v>995.32999999999993</v>
      </c>
      <c r="AH42" s="124">
        <v>450</v>
      </c>
      <c r="AI42" s="125">
        <f t="shared" si="6"/>
        <v>545.32999999999993</v>
      </c>
      <c r="AJ42" s="126">
        <f t="shared" si="9"/>
        <v>0.83414537712895376</v>
      </c>
      <c r="AK42" s="77"/>
      <c r="AL42" s="157">
        <f t="shared" si="18"/>
        <v>995.32999999999993</v>
      </c>
      <c r="AM42" s="147"/>
      <c r="AN42" s="18">
        <f>Z42-38334</f>
        <v>-36041.33</v>
      </c>
      <c r="AP42">
        <v>4</v>
      </c>
    </row>
    <row r="43" spans="1:42" ht="25.9" customHeight="1" x14ac:dyDescent="0.25">
      <c r="A43" s="75"/>
      <c r="B43" s="52" t="s">
        <v>64</v>
      </c>
      <c r="C43" s="112"/>
      <c r="D43" s="76"/>
      <c r="E43" s="76"/>
      <c r="F43" s="76"/>
      <c r="G43" s="76"/>
      <c r="H43" s="76"/>
      <c r="I43" s="76"/>
      <c r="J43" s="76"/>
      <c r="K43" s="76"/>
      <c r="L43" s="33"/>
      <c r="M43" s="34">
        <v>0</v>
      </c>
      <c r="N43" s="136"/>
      <c r="O43" s="54"/>
      <c r="P43" s="35"/>
      <c r="Q43" s="35"/>
      <c r="R43" s="35"/>
      <c r="S43" s="60"/>
      <c r="T43" s="35"/>
      <c r="U43" s="35"/>
      <c r="V43" s="35"/>
      <c r="W43" s="32">
        <f t="shared" si="10"/>
        <v>0</v>
      </c>
      <c r="X43" s="34"/>
      <c r="Y43" s="34"/>
      <c r="Z43" s="38">
        <f t="shared" si="4"/>
        <v>0</v>
      </c>
      <c r="AA43" s="63"/>
      <c r="AB43" s="63"/>
      <c r="AC43" s="113"/>
      <c r="AD43" s="33">
        <f t="shared" si="8"/>
        <v>0</v>
      </c>
      <c r="AE43" s="64"/>
      <c r="AF43" s="64"/>
      <c r="AG43" s="41">
        <f t="shared" ref="AG43:AG70" si="20">AD43-AE43</f>
        <v>0</v>
      </c>
      <c r="AH43" s="67"/>
      <c r="AI43" s="125">
        <f t="shared" si="6"/>
        <v>0</v>
      </c>
      <c r="AJ43" s="126"/>
      <c r="AK43" s="67"/>
      <c r="AL43" s="64"/>
      <c r="AM43" s="150"/>
    </row>
    <row r="44" spans="1:42" ht="37.15" customHeight="1" x14ac:dyDescent="0.25">
      <c r="A44" s="30">
        <v>1</v>
      </c>
      <c r="B44" s="31" t="s">
        <v>65</v>
      </c>
      <c r="C44" s="110" t="s">
        <v>130</v>
      </c>
      <c r="D44" s="59"/>
      <c r="E44" s="59"/>
      <c r="F44" s="59"/>
      <c r="G44" s="59"/>
      <c r="H44" s="59"/>
      <c r="I44" s="59"/>
      <c r="J44" s="59">
        <v>50</v>
      </c>
      <c r="K44" s="59">
        <v>200</v>
      </c>
      <c r="L44" s="33"/>
      <c r="M44" s="34">
        <f>200</f>
        <v>200</v>
      </c>
      <c r="N44" s="59">
        <v>6090</v>
      </c>
      <c r="O44" s="35">
        <v>8285</v>
      </c>
      <c r="P44" s="35"/>
      <c r="Q44" s="35"/>
      <c r="R44" s="35"/>
      <c r="S44" s="60"/>
      <c r="T44" s="35"/>
      <c r="U44" s="61"/>
      <c r="V44" s="61"/>
      <c r="W44" s="32">
        <f t="shared" si="10"/>
        <v>8285</v>
      </c>
      <c r="X44" s="34">
        <v>5678.33</v>
      </c>
      <c r="Y44" s="133"/>
      <c r="Z44" s="38">
        <f t="shared" si="4"/>
        <v>5678.33</v>
      </c>
      <c r="AA44" s="63">
        <f>Z44/W44</f>
        <v>0.68537477368738686</v>
      </c>
      <c r="AB44" s="63">
        <f>Z44/N44</f>
        <v>0.93240229885057468</v>
      </c>
      <c r="AC44" s="63"/>
      <c r="AD44" s="33">
        <f t="shared" si="8"/>
        <v>2606.67</v>
      </c>
      <c r="AE44" s="64"/>
      <c r="AF44" s="64"/>
      <c r="AG44" s="41">
        <f t="shared" si="20"/>
        <v>2606.67</v>
      </c>
      <c r="AH44" s="65">
        <v>110</v>
      </c>
      <c r="AI44" s="125">
        <f t="shared" si="6"/>
        <v>2496.67</v>
      </c>
      <c r="AJ44" s="126">
        <f t="shared" si="9"/>
        <v>0.69865178032589015</v>
      </c>
      <c r="AK44" s="64"/>
      <c r="AL44" s="64">
        <f>W44-Z44</f>
        <v>2606.67</v>
      </c>
      <c r="AM44" s="148"/>
    </row>
    <row r="45" spans="1:42" ht="39.6" customHeight="1" x14ac:dyDescent="0.25">
      <c r="A45" s="30">
        <v>2</v>
      </c>
      <c r="B45" s="31" t="s">
        <v>66</v>
      </c>
      <c r="C45" s="110">
        <v>8112965</v>
      </c>
      <c r="D45" s="59"/>
      <c r="E45" s="59"/>
      <c r="F45" s="59"/>
      <c r="G45" s="59"/>
      <c r="H45" s="59"/>
      <c r="I45" s="59"/>
      <c r="J45" s="59"/>
      <c r="K45" s="59">
        <v>200</v>
      </c>
      <c r="L45" s="33"/>
      <c r="M45" s="34">
        <v>170</v>
      </c>
      <c r="N45" s="59">
        <v>1208</v>
      </c>
      <c r="O45" s="61">
        <v>1208</v>
      </c>
      <c r="P45" s="35"/>
      <c r="Q45" s="35"/>
      <c r="R45" s="35"/>
      <c r="S45" s="60"/>
      <c r="T45" s="35"/>
      <c r="U45" s="61"/>
      <c r="V45" s="62"/>
      <c r="W45" s="32">
        <f t="shared" si="10"/>
        <v>1208</v>
      </c>
      <c r="X45" s="34">
        <v>936.10699999999997</v>
      </c>
      <c r="Y45" s="34"/>
      <c r="Z45" s="38">
        <f t="shared" si="4"/>
        <v>936.10699999999997</v>
      </c>
      <c r="AA45" s="63">
        <f t="shared" ref="AA45:AA46" si="21">Z45/W45</f>
        <v>0.7749230132450331</v>
      </c>
      <c r="AB45" s="63">
        <f t="shared" ref="AB45:AB54" si="22">Z45/N45</f>
        <v>0.7749230132450331</v>
      </c>
      <c r="AC45" s="114">
        <v>2146</v>
      </c>
      <c r="AD45" s="33">
        <f t="shared" si="8"/>
        <v>271.89300000000003</v>
      </c>
      <c r="AE45" s="64"/>
      <c r="AF45" s="64"/>
      <c r="AG45" s="41">
        <f t="shared" si="20"/>
        <v>271.89300000000003</v>
      </c>
      <c r="AH45" s="65"/>
      <c r="AI45" s="125">
        <f t="shared" si="6"/>
        <v>271.89300000000003</v>
      </c>
      <c r="AJ45" s="126">
        <f t="shared" si="9"/>
        <v>0.7749230132450331</v>
      </c>
      <c r="AK45" s="67"/>
      <c r="AL45" s="64">
        <f t="shared" ref="AL45:AL71" si="23">W45-Z45</f>
        <v>271.89300000000003</v>
      </c>
      <c r="AM45" s="149"/>
      <c r="AO45" s="19">
        <f>X45-261</f>
        <v>675.10699999999997</v>
      </c>
    </row>
    <row r="46" spans="1:42" ht="33.6" customHeight="1" x14ac:dyDescent="0.25">
      <c r="A46" s="30">
        <v>3</v>
      </c>
      <c r="B46" s="31" t="s">
        <v>67</v>
      </c>
      <c r="C46" s="110">
        <v>8100887</v>
      </c>
      <c r="D46" s="59"/>
      <c r="E46" s="59"/>
      <c r="F46" s="59"/>
      <c r="G46" s="59"/>
      <c r="H46" s="59"/>
      <c r="I46" s="59"/>
      <c r="J46" s="59"/>
      <c r="K46" s="59">
        <v>5221</v>
      </c>
      <c r="L46" s="33"/>
      <c r="M46" s="34">
        <v>1558.6</v>
      </c>
      <c r="N46" s="59">
        <v>5000</v>
      </c>
      <c r="O46" s="61">
        <v>5000</v>
      </c>
      <c r="P46" s="35"/>
      <c r="Q46" s="35"/>
      <c r="R46" s="35"/>
      <c r="S46" s="60"/>
      <c r="T46" s="35"/>
      <c r="U46" s="61"/>
      <c r="V46" s="62"/>
      <c r="W46" s="32">
        <f t="shared" si="10"/>
        <v>5000</v>
      </c>
      <c r="X46" s="34">
        <v>2204.52</v>
      </c>
      <c r="Y46" s="133">
        <v>2629</v>
      </c>
      <c r="Z46" s="38">
        <f>SUM(X46:Y46)</f>
        <v>4833.5200000000004</v>
      </c>
      <c r="AA46" s="63">
        <f t="shared" si="21"/>
        <v>0.96670400000000012</v>
      </c>
      <c r="AB46" s="63">
        <f t="shared" si="22"/>
        <v>0.96670400000000012</v>
      </c>
      <c r="AC46" s="63"/>
      <c r="AD46" s="33">
        <f t="shared" si="8"/>
        <v>166.47999999999956</v>
      </c>
      <c r="AE46" s="64"/>
      <c r="AF46" s="64"/>
      <c r="AG46" s="41">
        <f t="shared" si="20"/>
        <v>166.47999999999956</v>
      </c>
      <c r="AH46" s="65">
        <v>1000</v>
      </c>
      <c r="AI46" s="125">
        <f t="shared" si="6"/>
        <v>-833.52000000000044</v>
      </c>
      <c r="AJ46" s="126">
        <f t="shared" si="9"/>
        <v>1.1667040000000002</v>
      </c>
      <c r="AK46" s="67"/>
      <c r="AL46" s="64">
        <f t="shared" si="23"/>
        <v>166.47999999999956</v>
      </c>
      <c r="AM46" s="147"/>
      <c r="AN46" s="22"/>
      <c r="AO46" s="19"/>
    </row>
    <row r="47" spans="1:42" ht="55.9" customHeight="1" x14ac:dyDescent="0.25">
      <c r="A47" s="30">
        <v>4</v>
      </c>
      <c r="B47" s="31" t="s">
        <v>68</v>
      </c>
      <c r="C47" s="110">
        <v>8101114</v>
      </c>
      <c r="D47" s="59"/>
      <c r="E47" s="59"/>
      <c r="F47" s="59"/>
      <c r="G47" s="59"/>
      <c r="H47" s="59"/>
      <c r="I47" s="59"/>
      <c r="J47" s="59"/>
      <c r="K47" s="59">
        <v>1000</v>
      </c>
      <c r="L47" s="33"/>
      <c r="M47" s="34">
        <v>983.19999999999993</v>
      </c>
      <c r="N47" s="59">
        <v>44117</v>
      </c>
      <c r="O47" s="61">
        <v>44117</v>
      </c>
      <c r="P47" s="35"/>
      <c r="Q47" s="35"/>
      <c r="R47" s="35"/>
      <c r="S47" s="60"/>
      <c r="T47" s="35"/>
      <c r="U47" s="61"/>
      <c r="V47" s="62"/>
      <c r="W47" s="32">
        <f t="shared" si="10"/>
        <v>44117</v>
      </c>
      <c r="X47" s="34">
        <v>1306.5999999999999</v>
      </c>
      <c r="Y47" s="133"/>
      <c r="Z47" s="38">
        <f t="shared" ref="Z47:Z53" si="24">SUM(X47:Y47)</f>
        <v>1306.5999999999999</v>
      </c>
      <c r="AA47" s="63">
        <f t="shared" ref="AA47:AA53" si="25">Z47/W47</f>
        <v>2.9616701044948658E-2</v>
      </c>
      <c r="AB47" s="63">
        <f t="shared" si="22"/>
        <v>2.9616701044948658E-2</v>
      </c>
      <c r="AC47" s="114">
        <v>49</v>
      </c>
      <c r="AD47" s="33">
        <f t="shared" ref="AD47:AD53" si="26">W47-Z47</f>
        <v>42810.400000000001</v>
      </c>
      <c r="AE47" s="64"/>
      <c r="AF47" s="64"/>
      <c r="AG47" s="41">
        <f t="shared" si="20"/>
        <v>42810.400000000001</v>
      </c>
      <c r="AH47" s="65">
        <v>5000</v>
      </c>
      <c r="AI47" s="125">
        <f t="shared" si="6"/>
        <v>37810.400000000001</v>
      </c>
      <c r="AJ47" s="126">
        <f t="shared" si="9"/>
        <v>0.14295169662488383</v>
      </c>
      <c r="AK47" s="122"/>
      <c r="AL47" s="64">
        <f t="shared" si="23"/>
        <v>42810.400000000001</v>
      </c>
      <c r="AM47" s="146"/>
      <c r="AO47" s="19"/>
    </row>
    <row r="48" spans="1:42" ht="41.45" customHeight="1" x14ac:dyDescent="0.25">
      <c r="A48" s="30">
        <v>5</v>
      </c>
      <c r="B48" s="31" t="s">
        <v>69</v>
      </c>
      <c r="C48" s="110">
        <v>8100889</v>
      </c>
      <c r="D48" s="59"/>
      <c r="E48" s="59"/>
      <c r="F48" s="59"/>
      <c r="G48" s="59"/>
      <c r="H48" s="59"/>
      <c r="I48" s="59"/>
      <c r="J48" s="59"/>
      <c r="K48" s="59">
        <v>1100</v>
      </c>
      <c r="L48" s="33"/>
      <c r="M48" s="34">
        <v>1097.5700000000002</v>
      </c>
      <c r="N48" s="59">
        <v>48719</v>
      </c>
      <c r="O48" s="61">
        <v>50419</v>
      </c>
      <c r="P48" s="35"/>
      <c r="Q48" s="35"/>
      <c r="R48" s="35"/>
      <c r="S48" s="60"/>
      <c r="T48" s="35"/>
      <c r="U48" s="35"/>
      <c r="V48" s="69"/>
      <c r="W48" s="32">
        <f t="shared" si="10"/>
        <v>50419</v>
      </c>
      <c r="X48" s="34">
        <v>3055.11</v>
      </c>
      <c r="Y48" s="133">
        <v>3390</v>
      </c>
      <c r="Z48" s="38">
        <f t="shared" si="24"/>
        <v>6445.1100000000006</v>
      </c>
      <c r="AA48" s="63">
        <f t="shared" si="25"/>
        <v>0.12783097641762034</v>
      </c>
      <c r="AB48" s="63">
        <f t="shared" si="22"/>
        <v>0.1322915084463967</v>
      </c>
      <c r="AC48" s="114"/>
      <c r="AD48" s="33">
        <f t="shared" si="26"/>
        <v>43973.89</v>
      </c>
      <c r="AE48" s="64"/>
      <c r="AF48" s="64"/>
      <c r="AG48" s="41">
        <f t="shared" si="20"/>
        <v>43973.89</v>
      </c>
      <c r="AH48" s="65">
        <v>3200</v>
      </c>
      <c r="AI48" s="125">
        <f t="shared" si="6"/>
        <v>40773.89</v>
      </c>
      <c r="AJ48" s="126">
        <f t="shared" si="9"/>
        <v>0.19129911342946113</v>
      </c>
      <c r="AK48" s="67"/>
      <c r="AL48" s="64">
        <f t="shared" si="23"/>
        <v>43973.89</v>
      </c>
      <c r="AM48" s="149"/>
    </row>
    <row r="49" spans="1:42" ht="48.6" customHeight="1" x14ac:dyDescent="0.25">
      <c r="A49" s="30">
        <v>6</v>
      </c>
      <c r="B49" s="31" t="s">
        <v>70</v>
      </c>
      <c r="C49" s="110">
        <v>8111370</v>
      </c>
      <c r="D49" s="59"/>
      <c r="E49" s="59"/>
      <c r="F49" s="59"/>
      <c r="G49" s="59"/>
      <c r="H49" s="59"/>
      <c r="I49" s="59"/>
      <c r="J49" s="59"/>
      <c r="K49" s="59">
        <v>1100</v>
      </c>
      <c r="L49" s="33"/>
      <c r="M49" s="34">
        <v>931.3</v>
      </c>
      <c r="N49" s="59">
        <v>63000</v>
      </c>
      <c r="O49" s="61">
        <v>70000</v>
      </c>
      <c r="P49" s="35"/>
      <c r="Q49" s="35"/>
      <c r="R49" s="35"/>
      <c r="S49" s="60"/>
      <c r="T49" s="35"/>
      <c r="U49" s="35"/>
      <c r="V49" s="69"/>
      <c r="W49" s="32">
        <f t="shared" si="10"/>
        <v>70000</v>
      </c>
      <c r="X49" s="34">
        <v>4263.74</v>
      </c>
      <c r="Y49" s="34"/>
      <c r="Z49" s="38">
        <f t="shared" si="24"/>
        <v>4263.74</v>
      </c>
      <c r="AA49" s="63">
        <f t="shared" si="25"/>
        <v>6.0910571428571425E-2</v>
      </c>
      <c r="AB49" s="63">
        <f t="shared" si="22"/>
        <v>6.7678412698412696E-2</v>
      </c>
      <c r="AC49" s="114">
        <v>3024</v>
      </c>
      <c r="AD49" s="33">
        <f t="shared" si="26"/>
        <v>65736.259999999995</v>
      </c>
      <c r="AE49" s="64"/>
      <c r="AF49" s="64"/>
      <c r="AG49" s="41">
        <f t="shared" si="20"/>
        <v>65736.259999999995</v>
      </c>
      <c r="AH49" s="65">
        <v>15000</v>
      </c>
      <c r="AI49" s="125">
        <f t="shared" si="6"/>
        <v>50736.259999999995</v>
      </c>
      <c r="AJ49" s="126">
        <f t="shared" si="9"/>
        <v>0.27519628571428567</v>
      </c>
      <c r="AK49" s="64"/>
      <c r="AL49" s="64">
        <f t="shared" si="23"/>
        <v>65736.259999999995</v>
      </c>
      <c r="AM49" s="149"/>
    </row>
    <row r="50" spans="1:42" ht="51" customHeight="1" x14ac:dyDescent="0.25">
      <c r="A50" s="30">
        <v>7</v>
      </c>
      <c r="B50" s="31" t="s">
        <v>71</v>
      </c>
      <c r="C50" s="110">
        <v>8111981</v>
      </c>
      <c r="D50" s="59"/>
      <c r="E50" s="59"/>
      <c r="F50" s="59"/>
      <c r="G50" s="59"/>
      <c r="H50" s="59"/>
      <c r="I50" s="59"/>
      <c r="J50" s="59"/>
      <c r="K50" s="59">
        <v>300</v>
      </c>
      <c r="L50" s="33"/>
      <c r="M50" s="34">
        <v>272</v>
      </c>
      <c r="N50" s="59">
        <v>20</v>
      </c>
      <c r="O50" s="61">
        <v>20</v>
      </c>
      <c r="P50" s="35"/>
      <c r="Q50" s="35"/>
      <c r="R50" s="35"/>
      <c r="S50" s="60"/>
      <c r="T50" s="35"/>
      <c r="U50" s="35"/>
      <c r="V50" s="69"/>
      <c r="W50" s="32">
        <f t="shared" si="10"/>
        <v>20</v>
      </c>
      <c r="X50" s="34"/>
      <c r="Y50" s="34"/>
      <c r="Z50" s="38">
        <f t="shared" si="24"/>
        <v>0</v>
      </c>
      <c r="AA50" s="63">
        <f t="shared" si="25"/>
        <v>0</v>
      </c>
      <c r="AB50" s="63">
        <f t="shared" si="22"/>
        <v>0</v>
      </c>
      <c r="AC50" s="114">
        <v>117</v>
      </c>
      <c r="AD50" s="33">
        <f t="shared" si="26"/>
        <v>20</v>
      </c>
      <c r="AE50" s="64"/>
      <c r="AF50" s="64"/>
      <c r="AG50" s="41">
        <f t="shared" si="20"/>
        <v>20</v>
      </c>
      <c r="AH50" s="65"/>
      <c r="AI50" s="125">
        <f t="shared" si="6"/>
        <v>20</v>
      </c>
      <c r="AJ50" s="126">
        <f t="shared" si="9"/>
        <v>0</v>
      </c>
      <c r="AK50" s="128"/>
      <c r="AL50" s="64">
        <f t="shared" si="23"/>
        <v>20</v>
      </c>
      <c r="AM50" s="149"/>
      <c r="AN50" s="18">
        <f>AN49-Z49</f>
        <v>-4263.74</v>
      </c>
    </row>
    <row r="51" spans="1:42" ht="61.9" customHeight="1" x14ac:dyDescent="0.25">
      <c r="A51" s="30">
        <v>8</v>
      </c>
      <c r="B51" s="31" t="s">
        <v>72</v>
      </c>
      <c r="C51" s="110">
        <v>8112964</v>
      </c>
      <c r="D51" s="59"/>
      <c r="E51" s="59"/>
      <c r="F51" s="59"/>
      <c r="G51" s="59"/>
      <c r="H51" s="59"/>
      <c r="I51" s="59"/>
      <c r="J51" s="59"/>
      <c r="K51" s="59">
        <v>340</v>
      </c>
      <c r="L51" s="33"/>
      <c r="M51" s="34">
        <v>339.3</v>
      </c>
      <c r="N51" s="59">
        <v>125</v>
      </c>
      <c r="O51" s="61">
        <v>125</v>
      </c>
      <c r="P51" s="35"/>
      <c r="Q51" s="35"/>
      <c r="R51" s="35"/>
      <c r="S51" s="60"/>
      <c r="T51" s="35"/>
      <c r="U51" s="35"/>
      <c r="V51" s="69"/>
      <c r="W51" s="32">
        <f t="shared" si="10"/>
        <v>125</v>
      </c>
      <c r="X51" s="34"/>
      <c r="Y51" s="34"/>
      <c r="Z51" s="38">
        <f t="shared" si="24"/>
        <v>0</v>
      </c>
      <c r="AA51" s="63">
        <f t="shared" si="25"/>
        <v>0</v>
      </c>
      <c r="AB51" s="63">
        <f t="shared" si="22"/>
        <v>0</v>
      </c>
      <c r="AC51" s="114">
        <v>1010</v>
      </c>
      <c r="AD51" s="33">
        <f t="shared" si="26"/>
        <v>125</v>
      </c>
      <c r="AE51" s="64"/>
      <c r="AF51" s="64"/>
      <c r="AG51" s="41">
        <f t="shared" si="20"/>
        <v>125</v>
      </c>
      <c r="AH51" s="65"/>
      <c r="AI51" s="125">
        <f t="shared" si="6"/>
        <v>125</v>
      </c>
      <c r="AJ51" s="126">
        <f t="shared" si="9"/>
        <v>0</v>
      </c>
      <c r="AK51" s="64"/>
      <c r="AL51" s="64">
        <f t="shared" si="23"/>
        <v>125</v>
      </c>
      <c r="AM51" s="147"/>
      <c r="AN51" s="18">
        <f>Z51-13579</f>
        <v>-13579</v>
      </c>
      <c r="AO51">
        <f>13104</f>
        <v>13104</v>
      </c>
    </row>
    <row r="52" spans="1:42" ht="39.6" customHeight="1" x14ac:dyDescent="0.25">
      <c r="A52" s="30">
        <v>9</v>
      </c>
      <c r="B52" s="31" t="s">
        <v>73</v>
      </c>
      <c r="C52" s="110">
        <v>8112963</v>
      </c>
      <c r="D52" s="59"/>
      <c r="E52" s="59"/>
      <c r="F52" s="59"/>
      <c r="G52" s="59"/>
      <c r="H52" s="59"/>
      <c r="I52" s="59"/>
      <c r="J52" s="59"/>
      <c r="K52" s="59">
        <v>210</v>
      </c>
      <c r="L52" s="33"/>
      <c r="M52" s="34">
        <v>209.78</v>
      </c>
      <c r="N52" s="59">
        <v>3500</v>
      </c>
      <c r="O52" s="61">
        <v>7575</v>
      </c>
      <c r="P52" s="35"/>
      <c r="Q52" s="35"/>
      <c r="R52" s="35"/>
      <c r="S52" s="60"/>
      <c r="T52" s="35"/>
      <c r="U52" s="61"/>
      <c r="V52" s="61"/>
      <c r="W52" s="32">
        <f t="shared" si="10"/>
        <v>7575</v>
      </c>
      <c r="X52" s="34"/>
      <c r="Y52" s="34"/>
      <c r="Z52" s="38">
        <f>SUM(X52:Y52)</f>
        <v>0</v>
      </c>
      <c r="AA52" s="78">
        <f t="shared" si="25"/>
        <v>0</v>
      </c>
      <c r="AB52" s="63">
        <f t="shared" si="22"/>
        <v>0</v>
      </c>
      <c r="AC52" s="63"/>
      <c r="AD52" s="33">
        <f t="shared" si="26"/>
        <v>7575</v>
      </c>
      <c r="AE52" s="64"/>
      <c r="AF52" s="64"/>
      <c r="AG52" s="41">
        <f t="shared" si="20"/>
        <v>7575</v>
      </c>
      <c r="AH52" s="65"/>
      <c r="AI52" s="125">
        <f t="shared" si="6"/>
        <v>7575</v>
      </c>
      <c r="AJ52" s="127">
        <f t="shared" si="9"/>
        <v>0</v>
      </c>
      <c r="AK52" s="64"/>
      <c r="AL52" s="64">
        <f t="shared" si="23"/>
        <v>7575</v>
      </c>
      <c r="AM52" s="147" t="s">
        <v>74</v>
      </c>
      <c r="AO52" s="18">
        <f>AO51-Z51</f>
        <v>13104</v>
      </c>
    </row>
    <row r="53" spans="1:42" ht="39" customHeight="1" x14ac:dyDescent="0.25">
      <c r="A53" s="30">
        <v>10</v>
      </c>
      <c r="B53" s="31" t="s">
        <v>75</v>
      </c>
      <c r="C53" s="110" t="s">
        <v>131</v>
      </c>
      <c r="D53" s="59"/>
      <c r="E53" s="59"/>
      <c r="F53" s="59"/>
      <c r="G53" s="59"/>
      <c r="H53" s="59"/>
      <c r="I53" s="59"/>
      <c r="J53" s="59">
        <v>50</v>
      </c>
      <c r="K53" s="59">
        <v>954</v>
      </c>
      <c r="L53" s="33"/>
      <c r="M53" s="34">
        <v>898.03700000000003</v>
      </c>
      <c r="N53" s="59">
        <v>34000</v>
      </c>
      <c r="O53" s="61">
        <v>34000</v>
      </c>
      <c r="P53" s="35"/>
      <c r="Q53" s="35"/>
      <c r="R53" s="35"/>
      <c r="S53" s="60"/>
      <c r="T53" s="35"/>
      <c r="U53" s="35"/>
      <c r="V53" s="35"/>
      <c r="W53" s="32">
        <f t="shared" si="10"/>
        <v>34000</v>
      </c>
      <c r="X53" s="34"/>
      <c r="Y53" s="34"/>
      <c r="Z53" s="38">
        <f t="shared" si="24"/>
        <v>0</v>
      </c>
      <c r="AA53" s="63">
        <f t="shared" si="25"/>
        <v>0</v>
      </c>
      <c r="AB53" s="63">
        <f t="shared" si="22"/>
        <v>0</v>
      </c>
      <c r="AC53" s="63"/>
      <c r="AD53" s="33">
        <f t="shared" si="26"/>
        <v>34000</v>
      </c>
      <c r="AE53" s="64"/>
      <c r="AF53" s="64"/>
      <c r="AG53" s="41">
        <f t="shared" si="20"/>
        <v>34000</v>
      </c>
      <c r="AH53" s="65"/>
      <c r="AI53" s="125">
        <f t="shared" si="6"/>
        <v>34000</v>
      </c>
      <c r="AJ53" s="126">
        <f t="shared" si="9"/>
        <v>0</v>
      </c>
      <c r="AK53" s="67"/>
      <c r="AL53" s="64">
        <f t="shared" si="23"/>
        <v>34000</v>
      </c>
      <c r="AM53" s="146"/>
      <c r="AN53">
        <v>24869</v>
      </c>
    </row>
    <row r="54" spans="1:42" ht="43.15" customHeight="1" x14ac:dyDescent="0.25">
      <c r="A54" s="30">
        <v>11</v>
      </c>
      <c r="B54" s="31" t="s">
        <v>76</v>
      </c>
      <c r="C54" s="110">
        <v>8111982</v>
      </c>
      <c r="D54" s="59"/>
      <c r="E54" s="59"/>
      <c r="F54" s="59"/>
      <c r="G54" s="59"/>
      <c r="H54" s="59"/>
      <c r="I54" s="59"/>
      <c r="J54" s="59"/>
      <c r="K54" s="59">
        <v>300</v>
      </c>
      <c r="L54" s="33"/>
      <c r="M54" s="34">
        <v>264.39999999999998</v>
      </c>
      <c r="N54" s="59">
        <v>21</v>
      </c>
      <c r="O54" s="61">
        <v>21</v>
      </c>
      <c r="P54" s="35"/>
      <c r="Q54" s="35"/>
      <c r="R54" s="35"/>
      <c r="S54" s="60"/>
      <c r="T54" s="35"/>
      <c r="U54" s="35"/>
      <c r="V54" s="35"/>
      <c r="W54" s="32">
        <f t="shared" si="10"/>
        <v>21</v>
      </c>
      <c r="X54" s="34"/>
      <c r="Y54" s="34"/>
      <c r="Z54" s="38">
        <f t="shared" ref="Z54:Z70" si="27">SUM(X54:Y54)</f>
        <v>0</v>
      </c>
      <c r="AA54" s="63">
        <f t="shared" ref="AA54:AA70" si="28">Z54/W54</f>
        <v>0</v>
      </c>
      <c r="AB54" s="63">
        <f t="shared" si="22"/>
        <v>0</v>
      </c>
      <c r="AC54" s="63"/>
      <c r="AD54" s="33">
        <f t="shared" ref="AD54:AD70" si="29">W54-Z54</f>
        <v>21</v>
      </c>
      <c r="AE54" s="64"/>
      <c r="AF54" s="64"/>
      <c r="AG54" s="41">
        <f t="shared" si="20"/>
        <v>21</v>
      </c>
      <c r="AH54" s="65"/>
      <c r="AI54" s="125">
        <f t="shared" si="6"/>
        <v>21</v>
      </c>
      <c r="AJ54" s="126">
        <f t="shared" si="9"/>
        <v>0</v>
      </c>
      <c r="AK54" s="64"/>
      <c r="AL54" s="64">
        <f t="shared" si="23"/>
        <v>21</v>
      </c>
      <c r="AM54" s="147"/>
      <c r="AN54" s="19">
        <f>10338</f>
        <v>10338</v>
      </c>
      <c r="AP54">
        <v>158</v>
      </c>
    </row>
    <row r="55" spans="1:42" ht="64.150000000000006" customHeight="1" x14ac:dyDescent="0.25">
      <c r="A55" s="30">
        <v>12</v>
      </c>
      <c r="B55" s="31" t="s">
        <v>77</v>
      </c>
      <c r="C55" s="110">
        <v>8101127</v>
      </c>
      <c r="D55" s="59"/>
      <c r="E55" s="59"/>
      <c r="F55" s="59"/>
      <c r="G55" s="59"/>
      <c r="H55" s="59"/>
      <c r="I55" s="59"/>
      <c r="J55" s="59"/>
      <c r="K55" s="59">
        <v>100</v>
      </c>
      <c r="L55" s="33"/>
      <c r="M55" s="34">
        <v>100</v>
      </c>
      <c r="N55" s="59">
        <v>50</v>
      </c>
      <c r="O55" s="61">
        <v>500</v>
      </c>
      <c r="P55" s="35"/>
      <c r="Q55" s="35"/>
      <c r="R55" s="35"/>
      <c r="S55" s="60"/>
      <c r="T55" s="35"/>
      <c r="U55" s="35"/>
      <c r="V55" s="35"/>
      <c r="W55" s="32">
        <f t="shared" si="10"/>
        <v>500</v>
      </c>
      <c r="X55" s="34"/>
      <c r="Y55" s="34"/>
      <c r="Z55" s="38">
        <f t="shared" si="27"/>
        <v>0</v>
      </c>
      <c r="AA55" s="63">
        <f t="shared" si="28"/>
        <v>0</v>
      </c>
      <c r="AB55" s="63">
        <f t="shared" ref="AB55:AB70" si="30">Z55/N55</f>
        <v>0</v>
      </c>
      <c r="AC55" s="63"/>
      <c r="AD55" s="33">
        <f t="shared" si="29"/>
        <v>500</v>
      </c>
      <c r="AE55" s="64"/>
      <c r="AF55" s="64"/>
      <c r="AG55" s="41">
        <f t="shared" si="20"/>
        <v>500</v>
      </c>
      <c r="AH55" s="65"/>
      <c r="AI55" s="125">
        <f t="shared" si="6"/>
        <v>500</v>
      </c>
      <c r="AJ55" s="126">
        <f t="shared" si="9"/>
        <v>0</v>
      </c>
      <c r="AK55" s="64"/>
      <c r="AL55" s="64">
        <f t="shared" si="23"/>
        <v>500</v>
      </c>
      <c r="AM55" s="147"/>
      <c r="AN55" s="19">
        <f>AN54-Z54</f>
        <v>10338</v>
      </c>
      <c r="AP55">
        <v>355</v>
      </c>
    </row>
    <row r="56" spans="1:42" ht="59.45" customHeight="1" x14ac:dyDescent="0.25">
      <c r="A56" s="30">
        <v>13</v>
      </c>
      <c r="B56" s="31" t="s">
        <v>78</v>
      </c>
      <c r="C56" s="110">
        <v>8101113</v>
      </c>
      <c r="D56" s="59"/>
      <c r="E56" s="59"/>
      <c r="F56" s="59"/>
      <c r="G56" s="59"/>
      <c r="H56" s="59"/>
      <c r="I56" s="59"/>
      <c r="J56" s="59"/>
      <c r="K56" s="59">
        <v>1014</v>
      </c>
      <c r="L56" s="33"/>
      <c r="M56" s="34">
        <v>331.15</v>
      </c>
      <c r="N56" s="59">
        <v>10</v>
      </c>
      <c r="O56" s="61">
        <v>33</v>
      </c>
      <c r="P56" s="35"/>
      <c r="Q56" s="35"/>
      <c r="R56" s="35"/>
      <c r="S56" s="60"/>
      <c r="T56" s="35"/>
      <c r="U56" s="61"/>
      <c r="V56" s="62"/>
      <c r="W56" s="32">
        <f t="shared" si="10"/>
        <v>33</v>
      </c>
      <c r="X56" s="34"/>
      <c r="Y56" s="34"/>
      <c r="Z56" s="38">
        <f t="shared" si="27"/>
        <v>0</v>
      </c>
      <c r="AA56" s="63">
        <f t="shared" si="28"/>
        <v>0</v>
      </c>
      <c r="AB56" s="63">
        <f t="shared" si="30"/>
        <v>0</v>
      </c>
      <c r="AC56" s="63"/>
      <c r="AD56" s="33">
        <f t="shared" si="29"/>
        <v>33</v>
      </c>
      <c r="AE56" s="64"/>
      <c r="AF56" s="64"/>
      <c r="AG56" s="41">
        <f t="shared" si="20"/>
        <v>33</v>
      </c>
      <c r="AH56" s="65"/>
      <c r="AI56" s="125">
        <f t="shared" si="6"/>
        <v>33</v>
      </c>
      <c r="AJ56" s="126">
        <f t="shared" si="9"/>
        <v>0</v>
      </c>
      <c r="AK56" s="67"/>
      <c r="AL56" s="64">
        <f t="shared" si="23"/>
        <v>33</v>
      </c>
      <c r="AM56" s="146"/>
      <c r="AP56">
        <v>55</v>
      </c>
    </row>
    <row r="57" spans="1:42" ht="51.6" customHeight="1" x14ac:dyDescent="0.25">
      <c r="A57" s="30">
        <v>14</v>
      </c>
      <c r="B57" s="31" t="s">
        <v>79</v>
      </c>
      <c r="C57" s="110">
        <v>8101117</v>
      </c>
      <c r="D57" s="59"/>
      <c r="E57" s="59"/>
      <c r="F57" s="59"/>
      <c r="G57" s="59"/>
      <c r="H57" s="59"/>
      <c r="I57" s="59"/>
      <c r="J57" s="59"/>
      <c r="K57" s="59">
        <v>500</v>
      </c>
      <c r="L57" s="33"/>
      <c r="M57" s="34">
        <v>115.9</v>
      </c>
      <c r="N57" s="59">
        <v>10</v>
      </c>
      <c r="O57" s="61">
        <v>10</v>
      </c>
      <c r="P57" s="35"/>
      <c r="Q57" s="35"/>
      <c r="R57" s="35"/>
      <c r="S57" s="60"/>
      <c r="T57" s="35"/>
      <c r="U57" s="61"/>
      <c r="V57" s="62"/>
      <c r="W57" s="32">
        <f t="shared" si="10"/>
        <v>10</v>
      </c>
      <c r="X57" s="34"/>
      <c r="Y57" s="34"/>
      <c r="Z57" s="38">
        <f t="shared" si="27"/>
        <v>0</v>
      </c>
      <c r="AA57" s="63">
        <f t="shared" si="28"/>
        <v>0</v>
      </c>
      <c r="AB57" s="63">
        <f t="shared" si="30"/>
        <v>0</v>
      </c>
      <c r="AC57" s="63"/>
      <c r="AD57" s="33">
        <f t="shared" si="29"/>
        <v>10</v>
      </c>
      <c r="AE57" s="64"/>
      <c r="AF57" s="64"/>
      <c r="AG57" s="41">
        <f t="shared" si="20"/>
        <v>10</v>
      </c>
      <c r="AH57" s="65"/>
      <c r="AI57" s="125">
        <f t="shared" si="6"/>
        <v>10</v>
      </c>
      <c r="AJ57" s="126">
        <f t="shared" si="9"/>
        <v>0</v>
      </c>
      <c r="AK57" s="67"/>
      <c r="AL57" s="64">
        <f t="shared" si="23"/>
        <v>10</v>
      </c>
      <c r="AM57" s="146"/>
    </row>
    <row r="58" spans="1:42" ht="43.9" customHeight="1" x14ac:dyDescent="0.25">
      <c r="A58" s="30">
        <v>15</v>
      </c>
      <c r="B58" s="31" t="s">
        <v>80</v>
      </c>
      <c r="C58" s="110">
        <v>8100890</v>
      </c>
      <c r="D58" s="59"/>
      <c r="E58" s="59"/>
      <c r="F58" s="59"/>
      <c r="G58" s="59"/>
      <c r="H58" s="59"/>
      <c r="I58" s="59"/>
      <c r="J58" s="59"/>
      <c r="K58" s="59">
        <v>1000</v>
      </c>
      <c r="L58" s="33"/>
      <c r="M58" s="34">
        <v>173.7</v>
      </c>
      <c r="N58" s="59">
        <v>10</v>
      </c>
      <c r="O58" s="61">
        <v>10</v>
      </c>
      <c r="P58" s="35"/>
      <c r="Q58" s="35"/>
      <c r="R58" s="35"/>
      <c r="S58" s="60"/>
      <c r="T58" s="35"/>
      <c r="U58" s="35"/>
      <c r="V58" s="35"/>
      <c r="W58" s="32">
        <f t="shared" si="10"/>
        <v>10</v>
      </c>
      <c r="X58" s="34"/>
      <c r="Y58" s="34"/>
      <c r="Z58" s="38">
        <f t="shared" si="27"/>
        <v>0</v>
      </c>
      <c r="AA58" s="63">
        <f t="shared" si="28"/>
        <v>0</v>
      </c>
      <c r="AB58" s="63">
        <f t="shared" si="30"/>
        <v>0</v>
      </c>
      <c r="AC58" s="63"/>
      <c r="AD58" s="33">
        <f t="shared" si="29"/>
        <v>10</v>
      </c>
      <c r="AE58" s="64"/>
      <c r="AF58" s="64"/>
      <c r="AG58" s="41">
        <f t="shared" si="20"/>
        <v>10</v>
      </c>
      <c r="AH58" s="65"/>
      <c r="AI58" s="125">
        <f t="shared" si="6"/>
        <v>10</v>
      </c>
      <c r="AJ58" s="126">
        <f t="shared" si="9"/>
        <v>0</v>
      </c>
      <c r="AK58" s="64"/>
      <c r="AL58" s="64">
        <f t="shared" si="23"/>
        <v>10</v>
      </c>
      <c r="AM58" s="146"/>
    </row>
    <row r="59" spans="1:42" ht="41.45" customHeight="1" x14ac:dyDescent="0.25">
      <c r="A59" s="30">
        <v>16</v>
      </c>
      <c r="B59" s="31" t="s">
        <v>81</v>
      </c>
      <c r="C59" s="110">
        <v>8101116</v>
      </c>
      <c r="D59" s="59"/>
      <c r="E59" s="59"/>
      <c r="F59" s="59"/>
      <c r="G59" s="59"/>
      <c r="H59" s="59"/>
      <c r="I59" s="59"/>
      <c r="J59" s="59"/>
      <c r="K59" s="59">
        <v>700</v>
      </c>
      <c r="L59" s="33"/>
      <c r="M59" s="34">
        <v>239.99999999999997</v>
      </c>
      <c r="N59" s="59">
        <v>20</v>
      </c>
      <c r="O59" s="61">
        <v>20</v>
      </c>
      <c r="P59" s="35"/>
      <c r="Q59" s="35"/>
      <c r="R59" s="35"/>
      <c r="S59" s="60"/>
      <c r="T59" s="35"/>
      <c r="U59" s="61"/>
      <c r="V59" s="62"/>
      <c r="W59" s="32">
        <f t="shared" si="10"/>
        <v>20</v>
      </c>
      <c r="X59" s="34"/>
      <c r="Y59" s="34"/>
      <c r="Z59" s="38">
        <f t="shared" si="27"/>
        <v>0</v>
      </c>
      <c r="AA59" s="63">
        <f t="shared" si="28"/>
        <v>0</v>
      </c>
      <c r="AB59" s="63">
        <f t="shared" si="30"/>
        <v>0</v>
      </c>
      <c r="AC59" s="63"/>
      <c r="AD59" s="33">
        <f t="shared" si="29"/>
        <v>20</v>
      </c>
      <c r="AE59" s="64"/>
      <c r="AF59" s="64"/>
      <c r="AG59" s="41">
        <f t="shared" si="20"/>
        <v>20</v>
      </c>
      <c r="AH59" s="65"/>
      <c r="AI59" s="125">
        <f t="shared" si="6"/>
        <v>20</v>
      </c>
      <c r="AJ59" s="126">
        <f t="shared" si="9"/>
        <v>0</v>
      </c>
      <c r="AK59" s="67"/>
      <c r="AL59" s="64">
        <f t="shared" si="23"/>
        <v>20</v>
      </c>
      <c r="AM59" s="146"/>
    </row>
    <row r="60" spans="1:42" ht="45" customHeight="1" x14ac:dyDescent="0.25">
      <c r="A60" s="30">
        <v>17</v>
      </c>
      <c r="B60" s="31" t="s">
        <v>82</v>
      </c>
      <c r="C60" s="110">
        <v>8101115</v>
      </c>
      <c r="D60" s="59"/>
      <c r="E60" s="59"/>
      <c r="F60" s="59"/>
      <c r="G60" s="59"/>
      <c r="H60" s="59"/>
      <c r="I60" s="59"/>
      <c r="J60" s="59"/>
      <c r="K60" s="59">
        <v>1556</v>
      </c>
      <c r="L60" s="33"/>
      <c r="M60" s="34">
        <v>306.99099999999999</v>
      </c>
      <c r="N60" s="59">
        <v>50</v>
      </c>
      <c r="O60" s="61">
        <v>50</v>
      </c>
      <c r="P60" s="35"/>
      <c r="Q60" s="35"/>
      <c r="R60" s="35"/>
      <c r="S60" s="60"/>
      <c r="T60" s="35"/>
      <c r="U60" s="61"/>
      <c r="V60" s="62"/>
      <c r="W60" s="32">
        <f t="shared" si="10"/>
        <v>50</v>
      </c>
      <c r="X60" s="34"/>
      <c r="Y60" s="34"/>
      <c r="Z60" s="38">
        <f t="shared" si="27"/>
        <v>0</v>
      </c>
      <c r="AA60" s="63">
        <f t="shared" si="28"/>
        <v>0</v>
      </c>
      <c r="AB60" s="63">
        <f t="shared" si="30"/>
        <v>0</v>
      </c>
      <c r="AC60" s="63"/>
      <c r="AD60" s="33">
        <f t="shared" si="29"/>
        <v>50</v>
      </c>
      <c r="AE60" s="64"/>
      <c r="AF60" s="64"/>
      <c r="AG60" s="41">
        <f t="shared" si="20"/>
        <v>50</v>
      </c>
      <c r="AH60" s="65"/>
      <c r="AI60" s="125">
        <f t="shared" si="6"/>
        <v>50</v>
      </c>
      <c r="AJ60" s="126">
        <f t="shared" si="9"/>
        <v>0</v>
      </c>
      <c r="AK60" s="67"/>
      <c r="AL60" s="64">
        <f t="shared" si="23"/>
        <v>50</v>
      </c>
      <c r="AM60" s="146"/>
    </row>
    <row r="61" spans="1:42" ht="61.15" customHeight="1" x14ac:dyDescent="0.25">
      <c r="A61" s="30">
        <v>18</v>
      </c>
      <c r="B61" s="31" t="s">
        <v>83</v>
      </c>
      <c r="C61" s="110">
        <v>8101736</v>
      </c>
      <c r="D61" s="59"/>
      <c r="E61" s="59"/>
      <c r="F61" s="59"/>
      <c r="G61" s="59"/>
      <c r="H61" s="59"/>
      <c r="I61" s="59"/>
      <c r="J61" s="59"/>
      <c r="K61" s="59">
        <v>3750</v>
      </c>
      <c r="L61" s="33"/>
      <c r="M61" s="34">
        <v>507.4</v>
      </c>
      <c r="N61" s="59">
        <v>50</v>
      </c>
      <c r="O61" s="61">
        <v>50</v>
      </c>
      <c r="P61" s="35"/>
      <c r="Q61" s="35"/>
      <c r="R61" s="35"/>
      <c r="S61" s="60"/>
      <c r="T61" s="35"/>
      <c r="U61" s="61"/>
      <c r="V61" s="62"/>
      <c r="W61" s="32">
        <f t="shared" si="10"/>
        <v>50</v>
      </c>
      <c r="X61" s="34"/>
      <c r="Y61" s="34"/>
      <c r="Z61" s="38">
        <f t="shared" si="27"/>
        <v>0</v>
      </c>
      <c r="AA61" s="63">
        <f t="shared" si="28"/>
        <v>0</v>
      </c>
      <c r="AB61" s="63">
        <f t="shared" si="30"/>
        <v>0</v>
      </c>
      <c r="AC61" s="63"/>
      <c r="AD61" s="33">
        <f t="shared" si="29"/>
        <v>50</v>
      </c>
      <c r="AE61" s="64"/>
      <c r="AF61" s="64"/>
      <c r="AG61" s="41">
        <f t="shared" si="20"/>
        <v>50</v>
      </c>
      <c r="AH61" s="65"/>
      <c r="AI61" s="125">
        <f t="shared" si="6"/>
        <v>50</v>
      </c>
      <c r="AJ61" s="126">
        <f t="shared" si="9"/>
        <v>0</v>
      </c>
      <c r="AK61" s="67"/>
      <c r="AL61" s="64">
        <f t="shared" si="23"/>
        <v>50</v>
      </c>
      <c r="AM61" s="151"/>
    </row>
    <row r="62" spans="1:42" ht="56.45" customHeight="1" x14ac:dyDescent="0.25">
      <c r="A62" s="30">
        <v>19</v>
      </c>
      <c r="B62" s="31" t="s">
        <v>84</v>
      </c>
      <c r="C62" s="110">
        <v>8112949</v>
      </c>
      <c r="D62" s="59"/>
      <c r="E62" s="59"/>
      <c r="F62" s="59"/>
      <c r="G62" s="59"/>
      <c r="H62" s="59"/>
      <c r="I62" s="59"/>
      <c r="J62" s="59"/>
      <c r="K62" s="59">
        <v>250</v>
      </c>
      <c r="L62" s="33"/>
      <c r="M62" s="34">
        <v>182.3</v>
      </c>
      <c r="N62" s="59">
        <v>15</v>
      </c>
      <c r="O62" s="61">
        <v>15</v>
      </c>
      <c r="P62" s="35"/>
      <c r="Q62" s="35"/>
      <c r="R62" s="35"/>
      <c r="S62" s="60"/>
      <c r="T62" s="35"/>
      <c r="U62" s="61"/>
      <c r="V62" s="61"/>
      <c r="W62" s="32">
        <f t="shared" si="10"/>
        <v>15</v>
      </c>
      <c r="X62" s="34"/>
      <c r="Y62" s="34"/>
      <c r="Z62" s="38">
        <f t="shared" si="27"/>
        <v>0</v>
      </c>
      <c r="AA62" s="63">
        <f t="shared" si="28"/>
        <v>0</v>
      </c>
      <c r="AB62" s="63">
        <f t="shared" si="30"/>
        <v>0</v>
      </c>
      <c r="AC62" s="63"/>
      <c r="AD62" s="33">
        <f t="shared" si="29"/>
        <v>15</v>
      </c>
      <c r="AE62" s="64"/>
      <c r="AF62" s="64"/>
      <c r="AG62" s="41">
        <f t="shared" si="20"/>
        <v>15</v>
      </c>
      <c r="AH62" s="65"/>
      <c r="AI62" s="125">
        <f t="shared" si="6"/>
        <v>15</v>
      </c>
      <c r="AJ62" s="126">
        <f t="shared" si="9"/>
        <v>0</v>
      </c>
      <c r="AK62" s="67"/>
      <c r="AL62" s="64">
        <f t="shared" si="23"/>
        <v>15</v>
      </c>
      <c r="AM62" s="147"/>
    </row>
    <row r="63" spans="1:42" ht="54" customHeight="1" x14ac:dyDescent="0.25">
      <c r="A63" s="30">
        <v>20</v>
      </c>
      <c r="B63" s="31" t="s">
        <v>85</v>
      </c>
      <c r="C63" s="110">
        <v>8111980</v>
      </c>
      <c r="D63" s="59"/>
      <c r="E63" s="59"/>
      <c r="F63" s="59"/>
      <c r="G63" s="59"/>
      <c r="H63" s="59"/>
      <c r="I63" s="59"/>
      <c r="J63" s="59"/>
      <c r="K63" s="59">
        <v>418</v>
      </c>
      <c r="L63" s="33"/>
      <c r="M63" s="34">
        <v>359.4</v>
      </c>
      <c r="N63" s="59">
        <v>33</v>
      </c>
      <c r="O63" s="61">
        <v>33</v>
      </c>
      <c r="P63" s="35"/>
      <c r="Q63" s="35"/>
      <c r="R63" s="35"/>
      <c r="S63" s="60"/>
      <c r="T63" s="35"/>
      <c r="U63" s="61"/>
      <c r="V63" s="61"/>
      <c r="W63" s="32">
        <f t="shared" si="10"/>
        <v>33</v>
      </c>
      <c r="X63" s="34"/>
      <c r="Y63" s="34"/>
      <c r="Z63" s="38">
        <f t="shared" si="27"/>
        <v>0</v>
      </c>
      <c r="AA63" s="63">
        <f t="shared" si="28"/>
        <v>0</v>
      </c>
      <c r="AB63" s="63">
        <f t="shared" si="30"/>
        <v>0</v>
      </c>
      <c r="AC63" s="63"/>
      <c r="AD63" s="33">
        <f t="shared" si="29"/>
        <v>33</v>
      </c>
      <c r="AE63" s="64"/>
      <c r="AF63" s="64"/>
      <c r="AG63" s="41">
        <f t="shared" si="20"/>
        <v>33</v>
      </c>
      <c r="AH63" s="65"/>
      <c r="AI63" s="125">
        <f t="shared" si="6"/>
        <v>33</v>
      </c>
      <c r="AJ63" s="126">
        <f t="shared" si="9"/>
        <v>0</v>
      </c>
      <c r="AK63" s="67"/>
      <c r="AL63" s="64">
        <f t="shared" si="23"/>
        <v>33</v>
      </c>
      <c r="AM63" s="147"/>
    </row>
    <row r="64" spans="1:42" ht="84.6" customHeight="1" x14ac:dyDescent="0.25">
      <c r="A64" s="30">
        <v>21</v>
      </c>
      <c r="B64" s="31" t="s">
        <v>86</v>
      </c>
      <c r="C64" s="110">
        <v>8113485</v>
      </c>
      <c r="D64" s="59"/>
      <c r="E64" s="59"/>
      <c r="F64" s="59"/>
      <c r="G64" s="59"/>
      <c r="H64" s="59"/>
      <c r="I64" s="59"/>
      <c r="J64" s="59"/>
      <c r="K64" s="59">
        <v>500</v>
      </c>
      <c r="L64" s="33"/>
      <c r="M64" s="34">
        <v>442</v>
      </c>
      <c r="N64" s="59">
        <v>50</v>
      </c>
      <c r="O64" s="61">
        <v>50</v>
      </c>
      <c r="P64" s="35"/>
      <c r="Q64" s="35"/>
      <c r="R64" s="35"/>
      <c r="S64" s="60"/>
      <c r="T64" s="35"/>
      <c r="U64" s="35"/>
      <c r="V64" s="69"/>
      <c r="W64" s="32">
        <f t="shared" si="10"/>
        <v>50</v>
      </c>
      <c r="X64" s="34"/>
      <c r="Y64" s="34"/>
      <c r="Z64" s="38">
        <f t="shared" si="27"/>
        <v>0</v>
      </c>
      <c r="AA64" s="63">
        <f t="shared" si="28"/>
        <v>0</v>
      </c>
      <c r="AB64" s="63">
        <f t="shared" si="30"/>
        <v>0</v>
      </c>
      <c r="AC64" s="63"/>
      <c r="AD64" s="33">
        <f t="shared" si="29"/>
        <v>50</v>
      </c>
      <c r="AE64" s="64"/>
      <c r="AF64" s="64"/>
      <c r="AG64" s="41">
        <f t="shared" si="20"/>
        <v>50</v>
      </c>
      <c r="AH64" s="65"/>
      <c r="AI64" s="125">
        <f t="shared" si="6"/>
        <v>50</v>
      </c>
      <c r="AJ64" s="126">
        <f t="shared" si="9"/>
        <v>0</v>
      </c>
      <c r="AK64" s="67"/>
      <c r="AL64" s="64">
        <f t="shared" si="23"/>
        <v>50</v>
      </c>
      <c r="AM64" s="147"/>
    </row>
    <row r="65" spans="1:42" ht="41.45" customHeight="1" x14ac:dyDescent="0.25">
      <c r="A65" s="30">
        <v>22</v>
      </c>
      <c r="B65" s="31" t="s">
        <v>87</v>
      </c>
      <c r="C65" s="110">
        <v>8113487</v>
      </c>
      <c r="D65" s="59"/>
      <c r="E65" s="59"/>
      <c r="F65" s="59"/>
      <c r="G65" s="59"/>
      <c r="H65" s="59"/>
      <c r="I65" s="59"/>
      <c r="J65" s="59"/>
      <c r="K65" s="59">
        <v>2000</v>
      </c>
      <c r="L65" s="33"/>
      <c r="M65" s="34">
        <v>229</v>
      </c>
      <c r="N65" s="59">
        <v>10</v>
      </c>
      <c r="O65" s="61">
        <v>50</v>
      </c>
      <c r="P65" s="35"/>
      <c r="Q65" s="35"/>
      <c r="R65" s="35"/>
      <c r="S65" s="60"/>
      <c r="T65" s="35"/>
      <c r="U65" s="61"/>
      <c r="V65" s="62"/>
      <c r="W65" s="32">
        <f t="shared" si="10"/>
        <v>50</v>
      </c>
      <c r="X65" s="34"/>
      <c r="Y65" s="34"/>
      <c r="Z65" s="38">
        <f t="shared" si="27"/>
        <v>0</v>
      </c>
      <c r="AA65" s="63">
        <f t="shared" si="28"/>
        <v>0</v>
      </c>
      <c r="AB65" s="63">
        <f t="shared" si="30"/>
        <v>0</v>
      </c>
      <c r="AC65" s="63"/>
      <c r="AD65" s="33">
        <f t="shared" si="29"/>
        <v>50</v>
      </c>
      <c r="AE65" s="64"/>
      <c r="AF65" s="64"/>
      <c r="AG65" s="41">
        <f t="shared" si="20"/>
        <v>50</v>
      </c>
      <c r="AH65" s="65"/>
      <c r="AI65" s="125">
        <f t="shared" si="6"/>
        <v>50</v>
      </c>
      <c r="AJ65" s="126">
        <f t="shared" si="9"/>
        <v>0</v>
      </c>
      <c r="AK65" s="67"/>
      <c r="AL65" s="64">
        <f t="shared" si="23"/>
        <v>50</v>
      </c>
      <c r="AM65" s="147"/>
    </row>
    <row r="66" spans="1:42" ht="57" customHeight="1" x14ac:dyDescent="0.25">
      <c r="A66" s="30">
        <v>23</v>
      </c>
      <c r="B66" s="31" t="s">
        <v>88</v>
      </c>
      <c r="C66" s="110">
        <v>8112948</v>
      </c>
      <c r="D66" s="59"/>
      <c r="E66" s="59"/>
      <c r="F66" s="59"/>
      <c r="G66" s="59"/>
      <c r="H66" s="59"/>
      <c r="I66" s="59"/>
      <c r="J66" s="59"/>
      <c r="K66" s="59">
        <v>284</v>
      </c>
      <c r="L66" s="33"/>
      <c r="M66" s="34">
        <v>129.5</v>
      </c>
      <c r="N66" s="59">
        <v>6</v>
      </c>
      <c r="O66" s="61">
        <v>6</v>
      </c>
      <c r="P66" s="35"/>
      <c r="Q66" s="35"/>
      <c r="R66" s="35"/>
      <c r="S66" s="60"/>
      <c r="T66" s="35"/>
      <c r="U66" s="61"/>
      <c r="V66" s="61"/>
      <c r="W66" s="32">
        <f t="shared" si="10"/>
        <v>6</v>
      </c>
      <c r="X66" s="34"/>
      <c r="Y66" s="34"/>
      <c r="Z66" s="38">
        <f t="shared" si="27"/>
        <v>0</v>
      </c>
      <c r="AA66" s="63">
        <f t="shared" si="28"/>
        <v>0</v>
      </c>
      <c r="AB66" s="63">
        <f t="shared" si="30"/>
        <v>0</v>
      </c>
      <c r="AC66" s="63"/>
      <c r="AD66" s="33">
        <f t="shared" si="29"/>
        <v>6</v>
      </c>
      <c r="AE66" s="64"/>
      <c r="AF66" s="64"/>
      <c r="AG66" s="41">
        <f t="shared" si="20"/>
        <v>6</v>
      </c>
      <c r="AH66" s="65"/>
      <c r="AI66" s="125">
        <f t="shared" si="6"/>
        <v>6</v>
      </c>
      <c r="AJ66" s="126">
        <f t="shared" si="9"/>
        <v>0</v>
      </c>
      <c r="AK66" s="67"/>
      <c r="AL66" s="64">
        <f t="shared" si="23"/>
        <v>6</v>
      </c>
      <c r="AM66" s="147"/>
    </row>
    <row r="67" spans="1:42" ht="42" customHeight="1" x14ac:dyDescent="0.25">
      <c r="A67" s="30">
        <v>24</v>
      </c>
      <c r="B67" s="31" t="s">
        <v>89</v>
      </c>
      <c r="C67" s="110">
        <v>8118634</v>
      </c>
      <c r="D67" s="59"/>
      <c r="E67" s="59"/>
      <c r="F67" s="59"/>
      <c r="G67" s="59"/>
      <c r="H67" s="59"/>
      <c r="I67" s="59"/>
      <c r="J67" s="59"/>
      <c r="K67" s="59">
        <v>460</v>
      </c>
      <c r="L67" s="33"/>
      <c r="M67" s="34">
        <v>388.14</v>
      </c>
      <c r="N67" s="59">
        <v>23</v>
      </c>
      <c r="O67" s="61">
        <v>23</v>
      </c>
      <c r="P67" s="35"/>
      <c r="Q67" s="35"/>
      <c r="R67" s="35"/>
      <c r="S67" s="60"/>
      <c r="T67" s="35"/>
      <c r="U67" s="61"/>
      <c r="V67" s="61"/>
      <c r="W67" s="32">
        <f t="shared" si="10"/>
        <v>23</v>
      </c>
      <c r="X67" s="34"/>
      <c r="Y67" s="34"/>
      <c r="Z67" s="38">
        <f t="shared" si="27"/>
        <v>0</v>
      </c>
      <c r="AA67" s="63">
        <f t="shared" si="28"/>
        <v>0</v>
      </c>
      <c r="AB67" s="63">
        <f t="shared" si="30"/>
        <v>0</v>
      </c>
      <c r="AC67" s="63"/>
      <c r="AD67" s="33">
        <f t="shared" si="29"/>
        <v>23</v>
      </c>
      <c r="AE67" s="64"/>
      <c r="AF67" s="64"/>
      <c r="AG67" s="41">
        <f t="shared" si="20"/>
        <v>23</v>
      </c>
      <c r="AH67" s="65"/>
      <c r="AI67" s="125">
        <f t="shared" si="6"/>
        <v>23</v>
      </c>
      <c r="AJ67" s="126">
        <f t="shared" si="9"/>
        <v>0</v>
      </c>
      <c r="AK67" s="67"/>
      <c r="AL67" s="64">
        <f t="shared" si="23"/>
        <v>23</v>
      </c>
      <c r="AM67" s="147"/>
    </row>
    <row r="68" spans="1:42" ht="54" customHeight="1" x14ac:dyDescent="0.25">
      <c r="A68" s="30">
        <v>25</v>
      </c>
      <c r="B68" s="31" t="s">
        <v>90</v>
      </c>
      <c r="C68" s="110">
        <v>8111984</v>
      </c>
      <c r="D68" s="59"/>
      <c r="E68" s="59"/>
      <c r="F68" s="59"/>
      <c r="G68" s="59"/>
      <c r="H68" s="59"/>
      <c r="I68" s="59"/>
      <c r="J68" s="59"/>
      <c r="K68" s="59">
        <v>3000</v>
      </c>
      <c r="L68" s="33"/>
      <c r="M68" s="34">
        <v>531</v>
      </c>
      <c r="N68" s="59">
        <v>25</v>
      </c>
      <c r="O68" s="61">
        <v>25</v>
      </c>
      <c r="P68" s="35"/>
      <c r="Q68" s="35"/>
      <c r="R68" s="35"/>
      <c r="S68" s="60"/>
      <c r="T68" s="35"/>
      <c r="U68" s="61"/>
      <c r="V68" s="62"/>
      <c r="W68" s="32">
        <f t="shared" si="10"/>
        <v>25</v>
      </c>
      <c r="X68" s="34"/>
      <c r="Y68" s="34"/>
      <c r="Z68" s="38">
        <f t="shared" si="27"/>
        <v>0</v>
      </c>
      <c r="AA68" s="63">
        <f t="shared" si="28"/>
        <v>0</v>
      </c>
      <c r="AB68" s="63">
        <f t="shared" si="30"/>
        <v>0</v>
      </c>
      <c r="AC68" s="63"/>
      <c r="AD68" s="33">
        <f t="shared" si="29"/>
        <v>25</v>
      </c>
      <c r="AE68" s="64"/>
      <c r="AF68" s="64"/>
      <c r="AG68" s="41">
        <f t="shared" si="20"/>
        <v>25</v>
      </c>
      <c r="AH68" s="65"/>
      <c r="AI68" s="125">
        <f t="shared" si="6"/>
        <v>25</v>
      </c>
      <c r="AJ68" s="126">
        <f t="shared" si="9"/>
        <v>0</v>
      </c>
      <c r="AK68" s="67"/>
      <c r="AL68" s="64">
        <f t="shared" si="23"/>
        <v>25</v>
      </c>
      <c r="AM68" s="147"/>
    </row>
    <row r="69" spans="1:42" ht="55.15" customHeight="1" x14ac:dyDescent="0.25">
      <c r="A69" s="30">
        <v>26</v>
      </c>
      <c r="B69" s="31" t="s">
        <v>91</v>
      </c>
      <c r="C69" s="110">
        <v>8111979</v>
      </c>
      <c r="D69" s="59"/>
      <c r="E69" s="59"/>
      <c r="F69" s="59"/>
      <c r="G69" s="59"/>
      <c r="H69" s="59"/>
      <c r="I69" s="59"/>
      <c r="J69" s="59"/>
      <c r="K69" s="59">
        <v>3000</v>
      </c>
      <c r="L69" s="33"/>
      <c r="M69" s="34">
        <v>547.70000000000005</v>
      </c>
      <c r="N69" s="59"/>
      <c r="O69" s="35"/>
      <c r="P69" s="35"/>
      <c r="Q69" s="35"/>
      <c r="R69" s="35"/>
      <c r="S69" s="60"/>
      <c r="T69" s="35"/>
      <c r="U69" s="35"/>
      <c r="V69" s="69"/>
      <c r="W69" s="32">
        <f t="shared" si="10"/>
        <v>0</v>
      </c>
      <c r="X69" s="34"/>
      <c r="Y69" s="34"/>
      <c r="Z69" s="38">
        <f t="shared" si="27"/>
        <v>0</v>
      </c>
      <c r="AA69" s="63">
        <v>0</v>
      </c>
      <c r="AB69" s="63">
        <v>0</v>
      </c>
      <c r="AC69" s="63"/>
      <c r="AD69" s="33">
        <f t="shared" si="29"/>
        <v>0</v>
      </c>
      <c r="AE69" s="64"/>
      <c r="AF69" s="64"/>
      <c r="AG69" s="41">
        <f t="shared" si="20"/>
        <v>0</v>
      </c>
      <c r="AH69" s="65"/>
      <c r="AI69" s="125">
        <f t="shared" si="6"/>
        <v>0</v>
      </c>
      <c r="AJ69" s="126" t="e">
        <f t="shared" si="9"/>
        <v>#DIV/0!</v>
      </c>
      <c r="AK69" s="67"/>
      <c r="AL69" s="64">
        <f t="shared" si="23"/>
        <v>0</v>
      </c>
      <c r="AM69" s="147"/>
    </row>
    <row r="70" spans="1:42" ht="42" customHeight="1" x14ac:dyDescent="0.25">
      <c r="A70" s="30">
        <v>26</v>
      </c>
      <c r="B70" s="31" t="s">
        <v>92</v>
      </c>
      <c r="C70" s="110">
        <v>8113209</v>
      </c>
      <c r="D70" s="59"/>
      <c r="E70" s="59"/>
      <c r="F70" s="59"/>
      <c r="G70" s="59"/>
      <c r="H70" s="59"/>
      <c r="I70" s="59"/>
      <c r="J70" s="59"/>
      <c r="K70" s="59">
        <v>300</v>
      </c>
      <c r="L70" s="33"/>
      <c r="M70" s="34">
        <v>267.56</v>
      </c>
      <c r="N70" s="59">
        <v>61775</v>
      </c>
      <c r="O70" s="61">
        <v>61775</v>
      </c>
      <c r="P70" s="35"/>
      <c r="Q70" s="35"/>
      <c r="R70" s="35"/>
      <c r="S70" s="60"/>
      <c r="T70" s="35"/>
      <c r="U70" s="61"/>
      <c r="V70" s="62"/>
      <c r="W70" s="32">
        <f t="shared" si="10"/>
        <v>61775</v>
      </c>
      <c r="X70" s="34">
        <v>600</v>
      </c>
      <c r="Y70" s="34"/>
      <c r="Z70" s="38">
        <f t="shared" si="27"/>
        <v>600</v>
      </c>
      <c r="AA70" s="63">
        <f t="shared" si="28"/>
        <v>9.7126669364629697E-3</v>
      </c>
      <c r="AB70" s="63">
        <f t="shared" si="30"/>
        <v>9.7126669364629697E-3</v>
      </c>
      <c r="AC70" s="63"/>
      <c r="AD70" s="33">
        <f t="shared" si="29"/>
        <v>61175</v>
      </c>
      <c r="AE70" s="64"/>
      <c r="AF70" s="64"/>
      <c r="AG70" s="41">
        <f t="shared" si="20"/>
        <v>61175</v>
      </c>
      <c r="AH70" s="65">
        <v>10000</v>
      </c>
      <c r="AI70" s="125">
        <f t="shared" si="6"/>
        <v>51175</v>
      </c>
      <c r="AJ70" s="126">
        <f t="shared" si="9"/>
        <v>0.17159044921084582</v>
      </c>
      <c r="AK70" s="67"/>
      <c r="AL70" s="64">
        <f t="shared" si="23"/>
        <v>61175</v>
      </c>
      <c r="AM70" s="147"/>
    </row>
    <row r="71" spans="1:42" ht="42" customHeight="1" x14ac:dyDescent="0.25">
      <c r="A71" s="30">
        <v>27</v>
      </c>
      <c r="B71" s="31" t="s">
        <v>93</v>
      </c>
      <c r="C71" s="110">
        <v>8100888</v>
      </c>
      <c r="D71" s="59"/>
      <c r="E71" s="59"/>
      <c r="F71" s="59"/>
      <c r="G71" s="59"/>
      <c r="H71" s="59"/>
      <c r="I71" s="59"/>
      <c r="J71" s="59"/>
      <c r="K71" s="59">
        <v>1983</v>
      </c>
      <c r="L71" s="33"/>
      <c r="M71" s="34">
        <v>1530</v>
      </c>
      <c r="N71" s="59">
        <v>372925</v>
      </c>
      <c r="O71" s="61">
        <v>745850</v>
      </c>
      <c r="P71" s="35"/>
      <c r="Q71" s="35"/>
      <c r="R71" s="35"/>
      <c r="S71" s="60"/>
      <c r="T71" s="35"/>
      <c r="U71" s="61"/>
      <c r="V71" s="62"/>
      <c r="W71" s="32">
        <f t="shared" si="10"/>
        <v>745850</v>
      </c>
      <c r="X71" s="34">
        <v>1315.24</v>
      </c>
      <c r="Y71" s="133">
        <v>487225</v>
      </c>
      <c r="Z71" s="38">
        <f t="shared" ref="Z71:Z76" si="31">SUM(X71:Y71)</f>
        <v>488540.24</v>
      </c>
      <c r="AA71" s="63">
        <f>Z71/W71</f>
        <v>0.65501138298585504</v>
      </c>
      <c r="AB71" s="63">
        <f>Z71/N71</f>
        <v>1.3100227659717101</v>
      </c>
      <c r="AC71" s="63"/>
      <c r="AD71" s="33">
        <f>W71-Z71</f>
        <v>257309.76</v>
      </c>
      <c r="AE71" s="64"/>
      <c r="AF71" s="64"/>
      <c r="AG71" s="41">
        <f t="shared" ref="AG71:AG76" si="32">AD71-AE71</f>
        <v>257309.76</v>
      </c>
      <c r="AH71" s="65">
        <v>270000</v>
      </c>
      <c r="AI71" s="125">
        <f t="shared" si="6"/>
        <v>-12690.239999999991</v>
      </c>
      <c r="AJ71" s="126">
        <f t="shared" si="9"/>
        <v>1.0170144667158276</v>
      </c>
      <c r="AK71" s="67"/>
      <c r="AL71" s="64">
        <f t="shared" si="23"/>
        <v>257309.76</v>
      </c>
      <c r="AM71" s="147" t="s">
        <v>94</v>
      </c>
      <c r="AO71" s="20">
        <v>167340</v>
      </c>
      <c r="AP71" s="22">
        <v>167340</v>
      </c>
    </row>
    <row r="72" spans="1:42" ht="31.9" customHeight="1" x14ac:dyDescent="0.25">
      <c r="A72" s="75"/>
      <c r="B72" s="46" t="s">
        <v>95</v>
      </c>
      <c r="C72" s="105"/>
      <c r="D72" s="76"/>
      <c r="E72" s="76"/>
      <c r="F72" s="76"/>
      <c r="G72" s="76"/>
      <c r="H72" s="76"/>
      <c r="I72" s="76"/>
      <c r="J72" s="76"/>
      <c r="K72" s="76"/>
      <c r="L72" s="33"/>
      <c r="M72" s="34"/>
      <c r="N72" s="76"/>
      <c r="O72" s="76"/>
      <c r="P72" s="76"/>
      <c r="Q72" s="76"/>
      <c r="R72" s="76"/>
      <c r="S72" s="60"/>
      <c r="T72" s="76"/>
      <c r="U72" s="76"/>
      <c r="V72" s="76"/>
      <c r="W72" s="32">
        <f t="shared" si="10"/>
        <v>0</v>
      </c>
      <c r="X72" s="34"/>
      <c r="Y72" s="34"/>
      <c r="Z72" s="38">
        <f t="shared" si="31"/>
        <v>0</v>
      </c>
      <c r="AA72" s="63"/>
      <c r="AB72" s="63"/>
      <c r="AC72" s="63"/>
      <c r="AD72" s="33">
        <f t="shared" ref="AD72:AD76" si="33">W72-Z72</f>
        <v>0</v>
      </c>
      <c r="AE72" s="64"/>
      <c r="AF72" s="64"/>
      <c r="AG72" s="41">
        <f t="shared" si="32"/>
        <v>0</v>
      </c>
      <c r="AH72" s="65"/>
      <c r="AI72" s="125">
        <f t="shared" si="6"/>
        <v>0</v>
      </c>
      <c r="AJ72" s="126"/>
      <c r="AK72" s="67"/>
      <c r="AL72" s="67"/>
      <c r="AM72" s="152"/>
      <c r="AO72" s="21">
        <f>AO71-Z71</f>
        <v>-321200.24</v>
      </c>
      <c r="AP72" s="23">
        <f>AP71-Z71</f>
        <v>-321200.24</v>
      </c>
    </row>
    <row r="73" spans="1:42" ht="30" customHeight="1" x14ac:dyDescent="0.25">
      <c r="A73" s="30">
        <v>1</v>
      </c>
      <c r="B73" s="31" t="s">
        <v>96</v>
      </c>
      <c r="C73" s="110" t="s">
        <v>133</v>
      </c>
      <c r="D73" s="59"/>
      <c r="E73" s="59"/>
      <c r="F73" s="59"/>
      <c r="G73" s="59"/>
      <c r="H73" s="59"/>
      <c r="I73" s="59"/>
      <c r="J73" s="59">
        <v>5354</v>
      </c>
      <c r="K73" s="59">
        <v>19662</v>
      </c>
      <c r="L73" s="33"/>
      <c r="M73" s="34">
        <v>19661.934000000001</v>
      </c>
      <c r="N73" s="59"/>
      <c r="O73" s="35"/>
      <c r="P73" s="35"/>
      <c r="Q73" s="35"/>
      <c r="R73" s="35"/>
      <c r="S73" s="60"/>
      <c r="T73" s="35"/>
      <c r="U73" s="35"/>
      <c r="V73" s="35"/>
      <c r="W73" s="32">
        <f t="shared" si="10"/>
        <v>0</v>
      </c>
      <c r="X73" s="34"/>
      <c r="Y73" s="34"/>
      <c r="Z73" s="38">
        <f t="shared" si="31"/>
        <v>0</v>
      </c>
      <c r="AA73" s="63">
        <v>0</v>
      </c>
      <c r="AB73" s="63">
        <v>0</v>
      </c>
      <c r="AC73" s="63"/>
      <c r="AD73" s="33">
        <f t="shared" si="33"/>
        <v>0</v>
      </c>
      <c r="AE73" s="64"/>
      <c r="AF73" s="64"/>
      <c r="AG73" s="41">
        <f t="shared" si="32"/>
        <v>0</v>
      </c>
      <c r="AH73" s="65"/>
      <c r="AI73" s="125">
        <f t="shared" si="6"/>
        <v>0</v>
      </c>
      <c r="AJ73" s="126" t="e">
        <f t="shared" si="9"/>
        <v>#DIV/0!</v>
      </c>
      <c r="AK73" s="67"/>
      <c r="AL73" s="67"/>
      <c r="AM73" s="79" t="s">
        <v>97</v>
      </c>
      <c r="AP73" s="24">
        <f>383-60</f>
        <v>323</v>
      </c>
    </row>
    <row r="74" spans="1:42" ht="27" customHeight="1" x14ac:dyDescent="0.25">
      <c r="A74" s="30">
        <v>2</v>
      </c>
      <c r="B74" s="31" t="s">
        <v>98</v>
      </c>
      <c r="C74" s="110" t="s">
        <v>132</v>
      </c>
      <c r="D74" s="59"/>
      <c r="E74" s="59">
        <v>7500</v>
      </c>
      <c r="F74" s="59">
        <v>2600</v>
      </c>
      <c r="G74" s="59"/>
      <c r="H74" s="59"/>
      <c r="I74" s="59"/>
      <c r="J74" s="59">
        <v>6090</v>
      </c>
      <c r="K74" s="59">
        <v>19816</v>
      </c>
      <c r="L74" s="33"/>
      <c r="M74" s="59"/>
      <c r="N74" s="59"/>
      <c r="O74" s="35"/>
      <c r="P74" s="35"/>
      <c r="Q74" s="35"/>
      <c r="R74" s="35"/>
      <c r="S74" s="60"/>
      <c r="T74" s="35"/>
      <c r="U74" s="61"/>
      <c r="V74" s="62"/>
      <c r="W74" s="32">
        <f t="shared" si="10"/>
        <v>0</v>
      </c>
      <c r="X74" s="34"/>
      <c r="Y74" s="34"/>
      <c r="Z74" s="38">
        <f t="shared" si="31"/>
        <v>0</v>
      </c>
      <c r="AA74" s="63">
        <v>0</v>
      </c>
      <c r="AB74" s="63">
        <v>0</v>
      </c>
      <c r="AC74" s="63"/>
      <c r="AD74" s="33">
        <f t="shared" si="33"/>
        <v>0</v>
      </c>
      <c r="AE74" s="64"/>
      <c r="AF74" s="64"/>
      <c r="AG74" s="41">
        <f t="shared" si="32"/>
        <v>0</v>
      </c>
      <c r="AH74" s="65"/>
      <c r="AI74" s="125">
        <f t="shared" si="6"/>
        <v>0</v>
      </c>
      <c r="AJ74" s="126" t="e">
        <f t="shared" si="9"/>
        <v>#DIV/0!</v>
      </c>
      <c r="AK74" s="67"/>
      <c r="AL74" s="67"/>
      <c r="AM74" s="79" t="s">
        <v>99</v>
      </c>
    </row>
    <row r="75" spans="1:42" ht="42" customHeight="1" x14ac:dyDescent="0.25">
      <c r="A75" s="30">
        <v>3</v>
      </c>
      <c r="B75" s="31" t="s">
        <v>100</v>
      </c>
      <c r="C75" s="110">
        <v>7707829</v>
      </c>
      <c r="D75" s="59"/>
      <c r="E75" s="59">
        <v>6200</v>
      </c>
      <c r="F75" s="59">
        <v>4220</v>
      </c>
      <c r="G75" s="59"/>
      <c r="H75" s="59">
        <v>3960</v>
      </c>
      <c r="I75" s="59"/>
      <c r="J75" s="59"/>
      <c r="K75" s="59">
        <v>5251</v>
      </c>
      <c r="L75" s="33"/>
      <c r="M75" s="59"/>
      <c r="N75" s="59"/>
      <c r="O75" s="35"/>
      <c r="P75" s="35"/>
      <c r="Q75" s="35"/>
      <c r="R75" s="35"/>
      <c r="S75" s="60"/>
      <c r="T75" s="35"/>
      <c r="U75" s="61"/>
      <c r="V75" s="61"/>
      <c r="W75" s="32">
        <f t="shared" si="10"/>
        <v>0</v>
      </c>
      <c r="X75" s="34"/>
      <c r="Y75" s="34"/>
      <c r="Z75" s="38">
        <f t="shared" si="31"/>
        <v>0</v>
      </c>
      <c r="AA75" s="63">
        <v>0</v>
      </c>
      <c r="AB75" s="63">
        <v>0</v>
      </c>
      <c r="AC75" s="63"/>
      <c r="AD75" s="33">
        <f t="shared" si="33"/>
        <v>0</v>
      </c>
      <c r="AE75" s="64"/>
      <c r="AF75" s="64"/>
      <c r="AG75" s="41">
        <f t="shared" si="32"/>
        <v>0</v>
      </c>
      <c r="AH75" s="65"/>
      <c r="AI75" s="125">
        <f t="shared" si="6"/>
        <v>0</v>
      </c>
      <c r="AJ75" s="126" t="e">
        <f t="shared" si="9"/>
        <v>#DIV/0!</v>
      </c>
      <c r="AK75" s="64"/>
      <c r="AL75" s="64"/>
      <c r="AM75" s="80" t="s">
        <v>101</v>
      </c>
    </row>
    <row r="76" spans="1:42" ht="33.6" customHeight="1" x14ac:dyDescent="0.25">
      <c r="A76" s="30">
        <v>5</v>
      </c>
      <c r="B76" s="31" t="s">
        <v>102</v>
      </c>
      <c r="C76" s="110">
        <v>7677426</v>
      </c>
      <c r="D76" s="59"/>
      <c r="E76" s="59"/>
      <c r="F76" s="59"/>
      <c r="G76" s="59"/>
      <c r="H76" s="59">
        <v>103</v>
      </c>
      <c r="I76" s="59"/>
      <c r="J76" s="59">
        <v>1500</v>
      </c>
      <c r="K76" s="59"/>
      <c r="L76" s="33"/>
      <c r="M76" s="59"/>
      <c r="N76" s="59"/>
      <c r="O76" s="35"/>
      <c r="P76" s="35"/>
      <c r="Q76" s="35"/>
      <c r="R76" s="35"/>
      <c r="S76" s="60"/>
      <c r="T76" s="35"/>
      <c r="U76" s="35"/>
      <c r="V76" s="35"/>
      <c r="W76" s="32">
        <f t="shared" si="10"/>
        <v>0</v>
      </c>
      <c r="X76" s="34"/>
      <c r="Y76" s="34"/>
      <c r="Z76" s="38">
        <f t="shared" si="31"/>
        <v>0</v>
      </c>
      <c r="AA76" s="78">
        <v>0</v>
      </c>
      <c r="AB76" s="63">
        <v>0</v>
      </c>
      <c r="AC76" s="63"/>
      <c r="AD76" s="33">
        <f t="shared" si="33"/>
        <v>0</v>
      </c>
      <c r="AE76" s="64"/>
      <c r="AF76" s="64"/>
      <c r="AG76" s="41">
        <f t="shared" si="32"/>
        <v>0</v>
      </c>
      <c r="AH76" s="65"/>
      <c r="AI76" s="125">
        <f t="shared" ref="AI76" si="34">W76-Z76-AH76</f>
        <v>0</v>
      </c>
      <c r="AJ76" s="126" t="e">
        <f t="shared" ref="AJ76" si="35">(Z76+AH76)/W76</f>
        <v>#DIV/0!</v>
      </c>
      <c r="AK76" s="67"/>
      <c r="AL76" s="67"/>
      <c r="AM76" s="79" t="s">
        <v>97</v>
      </c>
    </row>
    <row r="77" spans="1:42" ht="29.45" hidden="1" customHeight="1" x14ac:dyDescent="0.25">
      <c r="A77" s="343" t="s">
        <v>145</v>
      </c>
      <c r="B77" s="306"/>
      <c r="C77" s="306"/>
      <c r="D77" s="306"/>
      <c r="E77" s="306"/>
      <c r="F77" s="306"/>
      <c r="G77" s="306"/>
      <c r="H77" s="306"/>
      <c r="I77" s="306"/>
      <c r="J77" s="306"/>
      <c r="K77" s="306"/>
      <c r="L77" s="306"/>
      <c r="M77" s="306"/>
      <c r="N77" s="306"/>
      <c r="O77" s="306"/>
      <c r="P77" s="306"/>
      <c r="Q77" s="306"/>
      <c r="R77" s="306"/>
      <c r="S77" s="306"/>
      <c r="T77" s="306"/>
      <c r="U77" s="306"/>
      <c r="V77" s="306"/>
      <c r="W77" s="306"/>
      <c r="X77" s="306"/>
      <c r="Y77" s="306"/>
      <c r="Z77" s="306"/>
      <c r="AA77" s="306"/>
      <c r="AB77" s="306"/>
      <c r="AC77" s="306"/>
      <c r="AD77" s="306"/>
      <c r="AE77" s="306"/>
      <c r="AF77" s="306"/>
      <c r="AG77" s="306"/>
      <c r="AH77" s="306"/>
      <c r="AI77" s="306"/>
      <c r="AJ77" s="306"/>
      <c r="AK77" s="306"/>
      <c r="AL77" s="306"/>
      <c r="AM77" s="306"/>
    </row>
    <row r="78" spans="1:42" ht="18.600000000000001" hidden="1" customHeight="1" x14ac:dyDescent="0.25">
      <c r="A78" s="81"/>
      <c r="B78" s="82" t="s">
        <v>19</v>
      </c>
      <c r="C78" s="82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4"/>
      <c r="Q78" s="84"/>
      <c r="R78" s="84"/>
      <c r="S78" s="85"/>
      <c r="T78" s="84"/>
      <c r="U78" s="84"/>
      <c r="V78" s="84"/>
      <c r="W78" s="86"/>
      <c r="X78" s="87"/>
      <c r="Y78" s="81"/>
      <c r="Z78" s="87"/>
      <c r="AA78" s="81"/>
      <c r="AB78" s="81"/>
      <c r="AC78" s="81"/>
      <c r="AD78" s="88">
        <f t="shared" ref="AD78:AD80" si="36">W78-Z78</f>
        <v>0</v>
      </c>
      <c r="AE78" s="89"/>
      <c r="AF78" s="89"/>
      <c r="AG78" s="89"/>
      <c r="AH78" s="90"/>
      <c r="AI78" s="90"/>
      <c r="AJ78" s="90"/>
      <c r="AK78" s="90"/>
      <c r="AL78" s="90"/>
      <c r="AM78" s="90"/>
    </row>
    <row r="79" spans="1:42" ht="33.6" hidden="1" customHeight="1" x14ac:dyDescent="0.25">
      <c r="A79" s="30">
        <v>28</v>
      </c>
      <c r="B79" s="134" t="s">
        <v>103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55">
        <v>1000</v>
      </c>
      <c r="O79" s="135">
        <v>1000</v>
      </c>
      <c r="P79" s="36"/>
      <c r="Q79" s="36"/>
      <c r="R79" s="36"/>
      <c r="S79" s="37">
        <v>100</v>
      </c>
      <c r="T79" s="36"/>
      <c r="U79" s="36"/>
      <c r="V79" s="36"/>
      <c r="W79" s="32">
        <v>1000</v>
      </c>
      <c r="X79" s="33"/>
      <c r="Y79" s="33"/>
      <c r="Z79" s="38">
        <v>0</v>
      </c>
      <c r="AA79" s="63">
        <f>Z79/W79</f>
        <v>0</v>
      </c>
      <c r="AB79" s="63">
        <f>Z79/N79</f>
        <v>0</v>
      </c>
      <c r="AC79" s="39"/>
      <c r="AD79" s="32">
        <f t="shared" si="36"/>
        <v>1000</v>
      </c>
      <c r="AE79" s="93"/>
      <c r="AF79" s="93"/>
      <c r="AG79" s="93">
        <f>AD79-AE79</f>
        <v>1000</v>
      </c>
      <c r="AH79" s="93"/>
      <c r="AI79" s="93"/>
      <c r="AJ79" s="130">
        <f>Z79/W79</f>
        <v>0</v>
      </c>
      <c r="AK79" s="93"/>
      <c r="AL79" s="64">
        <f>W79-Z79</f>
        <v>1000</v>
      </c>
      <c r="AM79" s="70" t="s">
        <v>104</v>
      </c>
    </row>
    <row r="80" spans="1:42" ht="32.450000000000003" hidden="1" customHeight="1" x14ac:dyDescent="0.25">
      <c r="A80" s="30">
        <v>2</v>
      </c>
      <c r="B80" s="91" t="s">
        <v>105</v>
      </c>
      <c r="C80" s="91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59"/>
      <c r="O80" s="92"/>
      <c r="P80" s="92"/>
      <c r="Q80" s="92"/>
      <c r="R80" s="92"/>
      <c r="S80" s="95">
        <v>1882</v>
      </c>
      <c r="T80" s="92"/>
      <c r="U80" s="92"/>
      <c r="V80" s="92"/>
      <c r="W80" s="32"/>
      <c r="X80" s="33"/>
      <c r="Y80" s="33"/>
      <c r="Z80" s="38"/>
      <c r="AA80" s="39"/>
      <c r="AB80" s="39"/>
      <c r="AC80" s="39"/>
      <c r="AD80" s="32">
        <f t="shared" si="36"/>
        <v>0</v>
      </c>
      <c r="AE80" s="93"/>
      <c r="AF80" s="93"/>
      <c r="AG80" s="93"/>
      <c r="AH80" s="93"/>
      <c r="AI80" s="93"/>
      <c r="AJ80" s="130" t="e">
        <f>Z80/W80</f>
        <v>#DIV/0!</v>
      </c>
      <c r="AK80" s="93"/>
      <c r="AL80" s="93"/>
      <c r="AM80" s="71" t="s">
        <v>104</v>
      </c>
    </row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</sheetData>
  <autoFilter ref="A10:AP80" xr:uid="{00000000-0009-0000-0000-000000000000}"/>
  <mergeCells count="38">
    <mergeCell ref="A77:AM77"/>
    <mergeCell ref="B7:B9"/>
    <mergeCell ref="D7:D9"/>
    <mergeCell ref="E7:E9"/>
    <mergeCell ref="F7:F9"/>
    <mergeCell ref="G7:G9"/>
    <mergeCell ref="H7:H9"/>
    <mergeCell ref="I7:I9"/>
    <mergeCell ref="J7:J9"/>
    <mergeCell ref="K7:K9"/>
    <mergeCell ref="L7:L9"/>
    <mergeCell ref="M7:M9"/>
    <mergeCell ref="Y7:Y9"/>
    <mergeCell ref="AI7:AI9"/>
    <mergeCell ref="AJ7:AJ9"/>
    <mergeCell ref="A7:A9"/>
    <mergeCell ref="A1:AB1"/>
    <mergeCell ref="A2:AB2"/>
    <mergeCell ref="A4:AM4"/>
    <mergeCell ref="A5:AM5"/>
    <mergeCell ref="AD7:AD9"/>
    <mergeCell ref="AE7:AE9"/>
    <mergeCell ref="AH7:AH9"/>
    <mergeCell ref="AK7:AK9"/>
    <mergeCell ref="AM7:AM9"/>
    <mergeCell ref="AG7:AG9"/>
    <mergeCell ref="AF7:AF9"/>
    <mergeCell ref="W7:W9"/>
    <mergeCell ref="Z7:Z9"/>
    <mergeCell ref="C7:C9"/>
    <mergeCell ref="X7:X9"/>
    <mergeCell ref="AD6:AM6"/>
    <mergeCell ref="AB7:AB9"/>
    <mergeCell ref="AC7:AC9"/>
    <mergeCell ref="N7:N9"/>
    <mergeCell ref="AA7:AA9"/>
    <mergeCell ref="AL7:AL9"/>
    <mergeCell ref="O7:V9"/>
  </mergeCells>
  <pageMargins left="0.45" right="0.27559055118110237" top="0.47244094488188981" bottom="0.31496062992125984" header="0" footer="0"/>
  <pageSetup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969"/>
  <sheetViews>
    <sheetView view="pageBreakPreview" zoomScaleSheetLayoutView="100" workbookViewId="0">
      <pane ySplit="9" topLeftCell="A19" activePane="bottomLeft" state="frozen"/>
      <selection pane="bottomLeft" activeCell="AC23" sqref="AC23"/>
    </sheetView>
  </sheetViews>
  <sheetFormatPr defaultColWidth="14.42578125" defaultRowHeight="15" customHeight="1" x14ac:dyDescent="0.25"/>
  <cols>
    <col min="1" max="1" width="6.28515625" customWidth="1"/>
    <col min="2" max="2" width="31.5703125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40" t="s">
        <v>142</v>
      </c>
      <c r="B1" s="320"/>
      <c r="C1" s="321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2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23" t="s">
        <v>143</v>
      </c>
      <c r="B2" s="320"/>
      <c r="C2" s="321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2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5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43.15" customHeight="1" x14ac:dyDescent="0.3">
      <c r="A4" s="324" t="s">
        <v>144</v>
      </c>
      <c r="B4" s="320"/>
      <c r="C4" s="321"/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0"/>
      <c r="AC4" s="321"/>
      <c r="AD4" s="321"/>
      <c r="AE4" s="320"/>
      <c r="AF4" s="320"/>
      <c r="AG4" s="321"/>
      <c r="AH4" s="321"/>
      <c r="AI4" s="320"/>
      <c r="AJ4" s="321"/>
      <c r="AK4" s="321"/>
      <c r="AL4" s="320"/>
      <c r="AM4" s="321"/>
      <c r="AN4" s="322"/>
    </row>
    <row r="5" spans="1:43" ht="17.25" x14ac:dyDescent="0.3">
      <c r="A5" s="325" t="s">
        <v>176</v>
      </c>
      <c r="B5" s="320"/>
      <c r="C5" s="321"/>
      <c r="D5" s="320"/>
      <c r="E5" s="320"/>
      <c r="F5" s="320"/>
      <c r="G5" s="320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0"/>
      <c r="AC5" s="321"/>
      <c r="AD5" s="321"/>
      <c r="AE5" s="320"/>
      <c r="AF5" s="320"/>
      <c r="AG5" s="321"/>
      <c r="AH5" s="321"/>
      <c r="AI5" s="320"/>
      <c r="AJ5" s="321"/>
      <c r="AK5" s="321"/>
      <c r="AL5" s="320"/>
      <c r="AM5" s="321"/>
      <c r="AN5" s="322"/>
    </row>
    <row r="6" spans="1:43" ht="14.25" customHeight="1" x14ac:dyDescent="0.25">
      <c r="A6" s="11"/>
      <c r="B6" s="12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44" t="s">
        <v>151</v>
      </c>
      <c r="AF6" s="345"/>
      <c r="AG6" s="345"/>
      <c r="AH6" s="345"/>
      <c r="AI6" s="345"/>
      <c r="AJ6" s="345"/>
      <c r="AK6" s="345"/>
      <c r="AL6" s="345"/>
      <c r="AM6" s="345"/>
      <c r="AN6" s="345"/>
    </row>
    <row r="7" spans="1:43" ht="14.25" customHeight="1" x14ac:dyDescent="0.25">
      <c r="A7" s="305" t="s">
        <v>1</v>
      </c>
      <c r="B7" s="305" t="s">
        <v>2</v>
      </c>
      <c r="C7" s="308" t="s">
        <v>109</v>
      </c>
      <c r="D7" s="305" t="s">
        <v>3</v>
      </c>
      <c r="E7" s="305" t="s">
        <v>4</v>
      </c>
      <c r="F7" s="305" t="s">
        <v>5</v>
      </c>
      <c r="G7" s="305" t="s">
        <v>6</v>
      </c>
      <c r="H7" s="305" t="s">
        <v>7</v>
      </c>
      <c r="I7" s="305" t="s">
        <v>8</v>
      </c>
      <c r="J7" s="305" t="s">
        <v>9</v>
      </c>
      <c r="K7" s="305" t="s">
        <v>10</v>
      </c>
      <c r="L7" s="326" t="s">
        <v>11</v>
      </c>
      <c r="M7" s="305" t="s">
        <v>12</v>
      </c>
      <c r="N7" s="305" t="s">
        <v>140</v>
      </c>
      <c r="O7" s="328" t="s">
        <v>138</v>
      </c>
      <c r="P7" s="329"/>
      <c r="Q7" s="329"/>
      <c r="R7" s="329"/>
      <c r="S7" s="329"/>
      <c r="T7" s="329"/>
      <c r="U7" s="329"/>
      <c r="V7" s="330"/>
      <c r="W7" s="305" t="s">
        <v>139</v>
      </c>
      <c r="X7" s="309" t="s">
        <v>13</v>
      </c>
      <c r="Y7" s="309" t="s">
        <v>184</v>
      </c>
      <c r="Z7" s="310" t="s">
        <v>175</v>
      </c>
      <c r="AA7" s="305" t="s">
        <v>15</v>
      </c>
      <c r="AB7" s="305" t="s">
        <v>16</v>
      </c>
      <c r="AC7" s="328" t="s">
        <v>155</v>
      </c>
      <c r="AD7" s="330"/>
      <c r="AE7" s="311" t="s">
        <v>17</v>
      </c>
      <c r="AF7" s="337" t="s">
        <v>107</v>
      </c>
      <c r="AG7" s="337" t="s">
        <v>108</v>
      </c>
      <c r="AH7" s="337" t="s">
        <v>106</v>
      </c>
      <c r="AI7" s="339" t="s">
        <v>147</v>
      </c>
      <c r="AJ7" s="311" t="s">
        <v>136</v>
      </c>
      <c r="AK7" s="311" t="s">
        <v>137</v>
      </c>
      <c r="AL7" s="305" t="s">
        <v>135</v>
      </c>
      <c r="AM7" s="305" t="s">
        <v>146</v>
      </c>
      <c r="AN7" s="305" t="s">
        <v>18</v>
      </c>
    </row>
    <row r="8" spans="1:43" ht="14.25" customHeight="1" x14ac:dyDescent="0.25">
      <c r="A8" s="306"/>
      <c r="B8" s="306"/>
      <c r="C8" s="308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31"/>
      <c r="P8" s="332"/>
      <c r="Q8" s="332"/>
      <c r="R8" s="332"/>
      <c r="S8" s="332"/>
      <c r="T8" s="332"/>
      <c r="U8" s="332"/>
      <c r="V8" s="333"/>
      <c r="W8" s="306"/>
      <c r="X8" s="306"/>
      <c r="Y8" s="306"/>
      <c r="Z8" s="306"/>
      <c r="AA8" s="306"/>
      <c r="AB8" s="306"/>
      <c r="AC8" s="334"/>
      <c r="AD8" s="336"/>
      <c r="AE8" s="306"/>
      <c r="AF8" s="338"/>
      <c r="AG8" s="338"/>
      <c r="AH8" s="339"/>
      <c r="AI8" s="338"/>
      <c r="AJ8" s="306"/>
      <c r="AK8" s="311"/>
      <c r="AL8" s="306"/>
      <c r="AM8" s="305"/>
      <c r="AN8" s="327"/>
    </row>
    <row r="9" spans="1:43" ht="92.25" customHeight="1" x14ac:dyDescent="0.25">
      <c r="A9" s="306"/>
      <c r="B9" s="306"/>
      <c r="C9" s="308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06"/>
      <c r="O9" s="334"/>
      <c r="P9" s="335"/>
      <c r="Q9" s="335"/>
      <c r="R9" s="335"/>
      <c r="S9" s="335"/>
      <c r="T9" s="335"/>
      <c r="U9" s="335"/>
      <c r="V9" s="336"/>
      <c r="W9" s="306"/>
      <c r="X9" s="306"/>
      <c r="Y9" s="306"/>
      <c r="Z9" s="306"/>
      <c r="AA9" s="306"/>
      <c r="AB9" s="306"/>
      <c r="AC9" s="201" t="s">
        <v>153</v>
      </c>
      <c r="AD9" s="178" t="s">
        <v>154</v>
      </c>
      <c r="AE9" s="306"/>
      <c r="AF9" s="338"/>
      <c r="AG9" s="338"/>
      <c r="AH9" s="339"/>
      <c r="AI9" s="338"/>
      <c r="AJ9" s="306"/>
      <c r="AK9" s="311"/>
      <c r="AL9" s="306"/>
      <c r="AM9" s="305"/>
      <c r="AN9" s="327"/>
      <c r="AO9">
        <f>Z11/W11</f>
        <v>0.50632226325372287</v>
      </c>
      <c r="AQ9">
        <v>27</v>
      </c>
    </row>
    <row r="10" spans="1:43" ht="22.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/>
      <c r="S10" s="129"/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9">
        <v>11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97" t="s">
        <v>19</v>
      </c>
      <c r="C11" s="104"/>
      <c r="D11" s="98">
        <f t="shared" ref="D11:L11" si="0">SUM(D12:D54)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SUBTOTAL(9,M12:M54)</f>
        <v>997557.30800000019</v>
      </c>
      <c r="N11" s="98">
        <f>SUBTOTAL(9,N12:N54)</f>
        <v>742875</v>
      </c>
      <c r="O11" s="98">
        <f>SUBTOTAL(9,O12:O54)</f>
        <v>1230191</v>
      </c>
      <c r="P11" s="98">
        <f>SUBTOTAL(9,P12:P58)</f>
        <v>800</v>
      </c>
      <c r="Q11" s="98"/>
      <c r="R11" s="98"/>
      <c r="S11" s="98"/>
      <c r="T11" s="98"/>
      <c r="U11" s="98"/>
      <c r="V11" s="98"/>
      <c r="W11" s="98">
        <f>SUBTOTAL(9,W12:W58)</f>
        <v>1226429</v>
      </c>
      <c r="X11" s="205">
        <v>606436.89500000002</v>
      </c>
      <c r="Y11" s="205">
        <f>SUM(Y12:Y58)</f>
        <v>14310</v>
      </c>
      <c r="Z11" s="206">
        <f>SUBTOTAL(9,Z12:Z58)</f>
        <v>620968.30700000003</v>
      </c>
      <c r="AA11" s="101">
        <f>Z11/W11</f>
        <v>0.50632226325372287</v>
      </c>
      <c r="AB11" s="101">
        <f>Z11/N11</f>
        <v>0.83589878108699311</v>
      </c>
      <c r="AC11" s="115">
        <f>SUM(AC13:AC58)</f>
        <v>69062.67</v>
      </c>
      <c r="AD11" s="115">
        <f>SUM(AD13:AD58)</f>
        <v>54752.67</v>
      </c>
      <c r="AE11" s="98">
        <f>W11-Z11</f>
        <v>605460.69299999997</v>
      </c>
      <c r="AF11" s="98">
        <f>X11-AA11</f>
        <v>606436.38867773674</v>
      </c>
      <c r="AG11" s="98">
        <f>Y11-AB11</f>
        <v>14309.164101218914</v>
      </c>
      <c r="AH11" s="98">
        <f>Z11-AC11</f>
        <v>551905.63699999999</v>
      </c>
      <c r="AI11" s="159">
        <f>SUM(AI12:AI54)</f>
        <v>324760</v>
      </c>
      <c r="AJ11" s="125">
        <f>W11-Z11-AI11</f>
        <v>280700.69299999997</v>
      </c>
      <c r="AK11" s="126">
        <f>(Z11+AI11)/W11</f>
        <v>0.77112356850661556</v>
      </c>
      <c r="AL11" s="101"/>
      <c r="AM11" s="115">
        <f>SUM(AM12:AM54)</f>
        <v>605460.69299999997</v>
      </c>
      <c r="AN11" s="175" t="s">
        <v>141</v>
      </c>
      <c r="AO11" s="117">
        <f>W11-Z11</f>
        <v>605460.69299999997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49" si="1">AC12-Y12</f>
        <v>0</v>
      </c>
      <c r="AE12" s="33"/>
      <c r="AF12" s="57"/>
      <c r="AG12" s="57"/>
      <c r="AH12" s="41">
        <f t="shared" ref="AH12:AH54" si="2">AE12-AF12</f>
        <v>0</v>
      </c>
      <c r="AI12" s="58"/>
      <c r="AJ12" s="125">
        <f t="shared" ref="AJ12:AJ55" si="3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54" si="4">SUM(X13:Y13)</f>
        <v>0</v>
      </c>
      <c r="AA13" s="154">
        <f>Z13/W13</f>
        <v>0</v>
      </c>
      <c r="AB13" s="63">
        <f t="shared" ref="AB13" si="5">Z13/N13</f>
        <v>0</v>
      </c>
      <c r="AC13" s="114">
        <v>2200</v>
      </c>
      <c r="AD13" s="177">
        <f>AC13-Y13</f>
        <v>2200</v>
      </c>
      <c r="AE13" s="33">
        <f t="shared" ref="AE13:AE48" si="6">W13-Z13</f>
        <v>60050</v>
      </c>
      <c r="AF13" s="64"/>
      <c r="AG13" s="64"/>
      <c r="AH13" s="41">
        <f t="shared" si="2"/>
        <v>60050</v>
      </c>
      <c r="AI13" s="65"/>
      <c r="AJ13" s="125">
        <f t="shared" si="3"/>
        <v>60050</v>
      </c>
      <c r="AK13" s="126">
        <f t="shared" ref="AK13:AK55" si="7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0.50632226325372287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4"/>
        <v>0</v>
      </c>
      <c r="AA14" s="154">
        <f>Z14/W14</f>
        <v>0</v>
      </c>
      <c r="AB14" s="63">
        <f>0%</f>
        <v>0</v>
      </c>
      <c r="AC14" s="114"/>
      <c r="AD14" s="177">
        <f t="shared" si="1"/>
        <v>0</v>
      </c>
      <c r="AE14" s="33">
        <f t="shared" si="6"/>
        <v>39020</v>
      </c>
      <c r="AF14" s="64"/>
      <c r="AG14" s="64"/>
      <c r="AH14" s="41">
        <f t="shared" si="2"/>
        <v>39020</v>
      </c>
      <c r="AI14" s="67"/>
      <c r="AJ14" s="125">
        <f t="shared" si="3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56" si="8">SUM(O15:V15)</f>
        <v>0</v>
      </c>
      <c r="X15" s="210">
        <v>0</v>
      </c>
      <c r="Y15" s="210"/>
      <c r="Z15" s="209">
        <f t="shared" si="4"/>
        <v>0</v>
      </c>
      <c r="AA15" s="154"/>
      <c r="AB15" s="63"/>
      <c r="AC15" s="114"/>
      <c r="AD15" s="177">
        <f t="shared" si="1"/>
        <v>0</v>
      </c>
      <c r="AE15" s="33">
        <f t="shared" si="6"/>
        <v>0</v>
      </c>
      <c r="AF15" s="64"/>
      <c r="AG15" s="64"/>
      <c r="AH15" s="41">
        <f t="shared" si="2"/>
        <v>0</v>
      </c>
      <c r="AI15" s="67"/>
      <c r="AJ15" s="125">
        <f t="shared" si="3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60"/>
      <c r="T16" s="35"/>
      <c r="U16" s="35"/>
      <c r="V16" s="35"/>
      <c r="W16" s="32">
        <f t="shared" si="8"/>
        <v>1000</v>
      </c>
      <c r="X16" s="210">
        <v>0</v>
      </c>
      <c r="Y16" s="210"/>
      <c r="Z16" s="209">
        <f t="shared" si="4"/>
        <v>0</v>
      </c>
      <c r="AA16" s="63">
        <f>Z16/W16</f>
        <v>0</v>
      </c>
      <c r="AB16" s="63">
        <f t="shared" ref="AB16" si="9">Z16/N16</f>
        <v>0</v>
      </c>
      <c r="AC16" s="114">
        <v>1000</v>
      </c>
      <c r="AD16" s="177">
        <f t="shared" si="1"/>
        <v>1000</v>
      </c>
      <c r="AE16" s="33">
        <f t="shared" si="6"/>
        <v>1000</v>
      </c>
      <c r="AF16" s="64"/>
      <c r="AG16" s="64"/>
      <c r="AH16" s="41">
        <f t="shared" si="2"/>
        <v>1000</v>
      </c>
      <c r="AI16" s="67"/>
      <c r="AJ16" s="125">
        <f t="shared" si="3"/>
        <v>1000</v>
      </c>
      <c r="AK16" s="126">
        <f t="shared" si="7"/>
        <v>0</v>
      </c>
      <c r="AL16" s="67"/>
      <c r="AM16" s="64">
        <f t="shared" ref="AM16" si="10">W16-Z16</f>
        <v>1000</v>
      </c>
      <c r="AN16" s="144" t="s">
        <v>39</v>
      </c>
    </row>
    <row r="17" spans="1:44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8"/>
        <v>0</v>
      </c>
      <c r="X17" s="210">
        <v>0</v>
      </c>
      <c r="Y17" s="210"/>
      <c r="Z17" s="209">
        <f t="shared" si="4"/>
        <v>0</v>
      </c>
      <c r="AA17" s="63"/>
      <c r="AB17" s="63"/>
      <c r="AC17" s="114"/>
      <c r="AD17" s="177">
        <f t="shared" si="1"/>
        <v>0</v>
      </c>
      <c r="AE17" s="33">
        <f t="shared" si="6"/>
        <v>0</v>
      </c>
      <c r="AF17" s="64"/>
      <c r="AG17" s="64"/>
      <c r="AH17" s="41">
        <f t="shared" si="2"/>
        <v>0</v>
      </c>
      <c r="AI17" s="67"/>
      <c r="AJ17" s="125">
        <f t="shared" si="3"/>
        <v>0</v>
      </c>
      <c r="AK17" s="126"/>
      <c r="AL17" s="67"/>
      <c r="AM17" s="64"/>
      <c r="AN17" s="165"/>
    </row>
    <row r="18" spans="1:44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60"/>
      <c r="T18" s="35"/>
      <c r="U18" s="61"/>
      <c r="V18" s="62"/>
      <c r="W18" s="32">
        <f t="shared" si="8"/>
        <v>20</v>
      </c>
      <c r="X18" s="210">
        <v>0</v>
      </c>
      <c r="Y18" s="210"/>
      <c r="Z18" s="209">
        <f t="shared" si="4"/>
        <v>0</v>
      </c>
      <c r="AA18" s="63">
        <f t="shared" ref="AA18:AA21" si="11">Z18/W18</f>
        <v>0</v>
      </c>
      <c r="AB18" s="63">
        <f t="shared" ref="AB18" si="12">Z18/N18</f>
        <v>0</v>
      </c>
      <c r="AC18" s="114">
        <v>20</v>
      </c>
      <c r="AD18" s="177">
        <f t="shared" si="1"/>
        <v>20</v>
      </c>
      <c r="AE18" s="33">
        <f t="shared" si="6"/>
        <v>20</v>
      </c>
      <c r="AF18" s="64"/>
      <c r="AG18" s="64"/>
      <c r="AH18" s="41">
        <f t="shared" si="2"/>
        <v>20</v>
      </c>
      <c r="AI18" s="65"/>
      <c r="AJ18" s="125">
        <f t="shared" si="3"/>
        <v>20</v>
      </c>
      <c r="AK18" s="126">
        <f t="shared" si="7"/>
        <v>0</v>
      </c>
      <c r="AL18" s="121"/>
      <c r="AM18" s="157">
        <f>W18-Z18</f>
        <v>20</v>
      </c>
      <c r="AN18" s="166"/>
    </row>
    <row r="19" spans="1:44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60"/>
      <c r="T19" s="35"/>
      <c r="U19" s="35"/>
      <c r="V19" s="69"/>
      <c r="W19" s="32">
        <f t="shared" si="8"/>
        <v>61243</v>
      </c>
      <c r="X19" s="210">
        <v>1532.3019999999999</v>
      </c>
      <c r="Y19" s="210"/>
      <c r="Z19" s="209">
        <f t="shared" si="4"/>
        <v>1532.3019999999999</v>
      </c>
      <c r="AA19" s="63">
        <f t="shared" si="11"/>
        <v>2.5020034942768967E-2</v>
      </c>
      <c r="AB19" s="63">
        <f>Z19/W19</f>
        <v>2.5020034942768967E-2</v>
      </c>
      <c r="AC19" s="114">
        <v>12249</v>
      </c>
      <c r="AD19" s="177">
        <f t="shared" si="1"/>
        <v>12249</v>
      </c>
      <c r="AE19" s="33">
        <f t="shared" si="6"/>
        <v>59710.697999999997</v>
      </c>
      <c r="AF19" s="64"/>
      <c r="AG19" s="64"/>
      <c r="AH19" s="41">
        <f t="shared" si="2"/>
        <v>59710.697999999997</v>
      </c>
      <c r="AI19" s="73" t="s">
        <v>148</v>
      </c>
      <c r="AJ19" s="125">
        <f t="shared" si="3"/>
        <v>56710.697999999997</v>
      </c>
      <c r="AK19" s="126">
        <f t="shared" si="7"/>
        <v>7.4005225086948706E-2</v>
      </c>
      <c r="AL19" s="74"/>
      <c r="AM19" s="157">
        <f t="shared" ref="AM19:AM21" si="13">W19-Z19</f>
        <v>59710.697999999997</v>
      </c>
      <c r="AN19" s="147" t="s">
        <v>61</v>
      </c>
    </row>
    <row r="20" spans="1:44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8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1"/>
        <v>0.71951269021739128</v>
      </c>
      <c r="AB20" s="63">
        <f t="shared" ref="AB20" si="14">Z20/N20</f>
        <v>0.71951269021739128</v>
      </c>
      <c r="AC20" s="114">
        <v>11544</v>
      </c>
      <c r="AD20" s="177">
        <f>AC20-Y20</f>
        <v>11544</v>
      </c>
      <c r="AE20" s="33">
        <f t="shared" si="6"/>
        <v>10321.933000000001</v>
      </c>
      <c r="AF20" s="64"/>
      <c r="AG20" s="64"/>
      <c r="AH20" s="41">
        <f t="shared" si="2"/>
        <v>10321.933000000001</v>
      </c>
      <c r="AI20" s="123">
        <v>20000</v>
      </c>
      <c r="AJ20" s="125">
        <f t="shared" si="3"/>
        <v>-9678.0669999999991</v>
      </c>
      <c r="AK20" s="126">
        <f t="shared" si="7"/>
        <v>1.2629909510869564</v>
      </c>
      <c r="AL20" s="77"/>
      <c r="AM20" s="157">
        <f t="shared" si="13"/>
        <v>10321.933000000001</v>
      </c>
      <c r="AN20" s="169"/>
      <c r="AP20" s="18">
        <f>Z20-24656</f>
        <v>1822.0669999999991</v>
      </c>
    </row>
    <row r="21" spans="1:44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8"/>
        <v>3288</v>
      </c>
      <c r="X21" s="210">
        <v>2292.66</v>
      </c>
      <c r="Y21" s="210"/>
      <c r="Z21" s="209">
        <f t="shared" si="4"/>
        <v>2292.66</v>
      </c>
      <c r="AA21" s="63">
        <f t="shared" si="11"/>
        <v>0.69728102189781016</v>
      </c>
      <c r="AB21" s="63">
        <f>Z21/N21</f>
        <v>2.8658249999999996</v>
      </c>
      <c r="AC21" s="114">
        <v>800</v>
      </c>
      <c r="AD21" s="177">
        <f t="shared" si="1"/>
        <v>800</v>
      </c>
      <c r="AE21" s="33">
        <f t="shared" si="6"/>
        <v>995.34000000000015</v>
      </c>
      <c r="AF21" s="64"/>
      <c r="AG21" s="64"/>
      <c r="AH21" s="41">
        <f t="shared" si="2"/>
        <v>995.34000000000015</v>
      </c>
      <c r="AI21" s="124">
        <v>450</v>
      </c>
      <c r="AJ21" s="125">
        <f t="shared" si="3"/>
        <v>545.34000000000015</v>
      </c>
      <c r="AK21" s="126">
        <f t="shared" si="7"/>
        <v>0.83414233576642327</v>
      </c>
      <c r="AL21" s="77"/>
      <c r="AM21" s="157">
        <f t="shared" si="13"/>
        <v>995.34000000000015</v>
      </c>
      <c r="AN21" s="167"/>
      <c r="AO21" s="18">
        <f>Z21-38334</f>
        <v>-36041.339999999997</v>
      </c>
      <c r="AQ21">
        <v>4</v>
      </c>
    </row>
    <row r="22" spans="1:44" ht="24" customHeight="1" x14ac:dyDescent="0.25">
      <c r="A22" s="51" t="s">
        <v>182</v>
      </c>
      <c r="B22" s="52" t="s">
        <v>64</v>
      </c>
      <c r="C22" s="222"/>
      <c r="D22" s="76"/>
      <c r="E22" s="76"/>
      <c r="F22" s="76"/>
      <c r="G22" s="76"/>
      <c r="H22" s="76"/>
      <c r="I22" s="76"/>
      <c r="J22" s="76"/>
      <c r="K22" s="76"/>
      <c r="L22" s="33"/>
      <c r="M22" s="34">
        <v>0</v>
      </c>
      <c r="N22" s="136"/>
      <c r="O22" s="54"/>
      <c r="P22" s="35"/>
      <c r="Q22" s="35"/>
      <c r="R22" s="35"/>
      <c r="S22" s="60"/>
      <c r="T22" s="35"/>
      <c r="U22" s="35"/>
      <c r="V22" s="35"/>
      <c r="W22" s="32">
        <f t="shared" si="8"/>
        <v>0</v>
      </c>
      <c r="X22" s="210">
        <v>0</v>
      </c>
      <c r="Y22" s="210"/>
      <c r="Z22" s="209">
        <f t="shared" si="4"/>
        <v>0</v>
      </c>
      <c r="AA22" s="63"/>
      <c r="AB22" s="63"/>
      <c r="AC22" s="114"/>
      <c r="AD22" s="177">
        <f t="shared" si="1"/>
        <v>0</v>
      </c>
      <c r="AE22" s="33">
        <f t="shared" si="6"/>
        <v>0</v>
      </c>
      <c r="AF22" s="64"/>
      <c r="AG22" s="64"/>
      <c r="AH22" s="41">
        <f t="shared" si="2"/>
        <v>0</v>
      </c>
      <c r="AI22" s="67"/>
      <c r="AJ22" s="125">
        <f t="shared" si="3"/>
        <v>0</v>
      </c>
      <c r="AK22" s="126"/>
      <c r="AL22" s="67"/>
      <c r="AM22" s="64"/>
      <c r="AN22" s="170"/>
    </row>
    <row r="23" spans="1:44" ht="36" customHeight="1" x14ac:dyDescent="0.25">
      <c r="A23" s="30">
        <v>8</v>
      </c>
      <c r="B23" s="31" t="s">
        <v>177</v>
      </c>
      <c r="C23" s="221" t="s">
        <v>130</v>
      </c>
      <c r="D23" s="59"/>
      <c r="E23" s="59"/>
      <c r="F23" s="59"/>
      <c r="G23" s="59"/>
      <c r="H23" s="59"/>
      <c r="I23" s="59"/>
      <c r="J23" s="59">
        <v>50</v>
      </c>
      <c r="K23" s="59">
        <v>200</v>
      </c>
      <c r="L23" s="33"/>
      <c r="M23" s="34">
        <f>200</f>
        <v>200</v>
      </c>
      <c r="N23" s="59">
        <v>6090</v>
      </c>
      <c r="O23" s="35">
        <v>8285</v>
      </c>
      <c r="P23" s="35"/>
      <c r="Q23" s="35"/>
      <c r="R23" s="35"/>
      <c r="S23" s="60"/>
      <c r="T23" s="35"/>
      <c r="U23" s="61"/>
      <c r="V23" s="61"/>
      <c r="W23" s="32">
        <f t="shared" si="8"/>
        <v>8285</v>
      </c>
      <c r="X23" s="210">
        <v>5777.54</v>
      </c>
      <c r="Y23" s="210"/>
      <c r="Z23" s="209">
        <f t="shared" si="4"/>
        <v>5777.54</v>
      </c>
      <c r="AA23" s="63">
        <f>Z23/W23</f>
        <v>0.69734942667471334</v>
      </c>
      <c r="AB23" s="63">
        <f>Z23/N23</f>
        <v>0.94869293924466336</v>
      </c>
      <c r="AC23" s="114">
        <v>312.67000000000007</v>
      </c>
      <c r="AD23" s="177">
        <f t="shared" si="1"/>
        <v>312.67000000000007</v>
      </c>
      <c r="AE23" s="33">
        <f t="shared" si="6"/>
        <v>2507.46</v>
      </c>
      <c r="AF23" s="64"/>
      <c r="AG23" s="64"/>
      <c r="AH23" s="41">
        <f t="shared" si="2"/>
        <v>2507.46</v>
      </c>
      <c r="AI23" s="65">
        <v>110</v>
      </c>
      <c r="AJ23" s="125">
        <f t="shared" si="3"/>
        <v>2397.46</v>
      </c>
      <c r="AK23" s="126">
        <f t="shared" si="7"/>
        <v>0.71062643331321662</v>
      </c>
      <c r="AL23" s="64"/>
      <c r="AM23" s="64">
        <f>W23-Z23</f>
        <v>2507.46</v>
      </c>
      <c r="AN23" s="168"/>
    </row>
    <row r="24" spans="1:44" ht="39.6" customHeight="1" x14ac:dyDescent="0.25">
      <c r="A24" s="30">
        <v>9</v>
      </c>
      <c r="B24" s="31" t="s">
        <v>66</v>
      </c>
      <c r="C24" s="221">
        <v>8112965</v>
      </c>
      <c r="D24" s="59"/>
      <c r="E24" s="59"/>
      <c r="F24" s="59"/>
      <c r="G24" s="59"/>
      <c r="H24" s="59"/>
      <c r="I24" s="59"/>
      <c r="J24" s="59"/>
      <c r="K24" s="59">
        <v>200</v>
      </c>
      <c r="L24" s="33"/>
      <c r="M24" s="34">
        <v>170</v>
      </c>
      <c r="N24" s="59">
        <v>1208</v>
      </c>
      <c r="O24" s="35">
        <v>1208</v>
      </c>
      <c r="P24" s="35"/>
      <c r="Q24" s="35"/>
      <c r="R24" s="35"/>
      <c r="S24" s="60"/>
      <c r="T24" s="35"/>
      <c r="U24" s="61"/>
      <c r="V24" s="62"/>
      <c r="W24" s="32">
        <f t="shared" si="8"/>
        <v>1208</v>
      </c>
      <c r="X24" s="210">
        <v>936.10699999999997</v>
      </c>
      <c r="Y24" s="210"/>
      <c r="Z24" s="209">
        <f t="shared" si="4"/>
        <v>936.10699999999997</v>
      </c>
      <c r="AA24" s="63">
        <f t="shared" ref="AA24:AA48" si="15">Z24/W24</f>
        <v>0.7749230132450331</v>
      </c>
      <c r="AB24" s="63">
        <f t="shared" ref="AB24:AB48" si="16">Z24/N24</f>
        <v>0.7749230132450331</v>
      </c>
      <c r="AC24" s="114">
        <v>272</v>
      </c>
      <c r="AD24" s="177">
        <f t="shared" si="1"/>
        <v>272</v>
      </c>
      <c r="AE24" s="33">
        <f t="shared" si="6"/>
        <v>271.89300000000003</v>
      </c>
      <c r="AF24" s="64"/>
      <c r="AG24" s="64"/>
      <c r="AH24" s="41">
        <f t="shared" si="2"/>
        <v>271.89300000000003</v>
      </c>
      <c r="AI24" s="65"/>
      <c r="AJ24" s="125">
        <f t="shared" si="3"/>
        <v>271.89300000000003</v>
      </c>
      <c r="AK24" s="126">
        <f t="shared" si="7"/>
        <v>0.7749230132450331</v>
      </c>
      <c r="AL24" s="67"/>
      <c r="AM24" s="64">
        <f t="shared" ref="AM24:AM49" si="17">W24-Z24</f>
        <v>271.89300000000003</v>
      </c>
      <c r="AN24" s="169"/>
      <c r="AP24" s="19">
        <f>X24-261</f>
        <v>675.10699999999997</v>
      </c>
    </row>
    <row r="25" spans="1:44" ht="36.6" customHeight="1" x14ac:dyDescent="0.25">
      <c r="A25" s="30">
        <v>10</v>
      </c>
      <c r="B25" s="31" t="s">
        <v>67</v>
      </c>
      <c r="C25" s="221">
        <v>8100887</v>
      </c>
      <c r="D25" s="59"/>
      <c r="E25" s="59"/>
      <c r="F25" s="59"/>
      <c r="G25" s="59"/>
      <c r="H25" s="59"/>
      <c r="I25" s="59"/>
      <c r="J25" s="59"/>
      <c r="K25" s="59">
        <v>5221</v>
      </c>
      <c r="L25" s="33"/>
      <c r="M25" s="34">
        <v>1558.6</v>
      </c>
      <c r="N25" s="59">
        <v>5000</v>
      </c>
      <c r="O25" s="35">
        <v>5000</v>
      </c>
      <c r="P25" s="35"/>
      <c r="Q25" s="35"/>
      <c r="R25" s="35"/>
      <c r="S25" s="60"/>
      <c r="T25" s="35"/>
      <c r="U25" s="61"/>
      <c r="V25" s="62"/>
      <c r="W25" s="32">
        <f t="shared" si="8"/>
        <v>5000</v>
      </c>
      <c r="X25" s="210">
        <v>5000</v>
      </c>
      <c r="Y25" s="210"/>
      <c r="Z25" s="209">
        <f t="shared" si="4"/>
        <v>5000</v>
      </c>
      <c r="AA25" s="39">
        <f>Z25/W25</f>
        <v>1</v>
      </c>
      <c r="AB25" s="39">
        <f t="shared" si="16"/>
        <v>1</v>
      </c>
      <c r="AC25" s="114"/>
      <c r="AD25" s="177">
        <f t="shared" si="1"/>
        <v>0</v>
      </c>
      <c r="AE25" s="116">
        <f t="shared" si="6"/>
        <v>0</v>
      </c>
      <c r="AF25" s="64"/>
      <c r="AG25" s="64"/>
      <c r="AH25" s="41">
        <f t="shared" si="2"/>
        <v>0</v>
      </c>
      <c r="AI25" s="65">
        <v>1000</v>
      </c>
      <c r="AJ25" s="125">
        <f t="shared" si="3"/>
        <v>-1000</v>
      </c>
      <c r="AK25" s="126">
        <f t="shared" si="7"/>
        <v>1.2</v>
      </c>
      <c r="AL25" s="67"/>
      <c r="AM25" s="64">
        <f t="shared" si="17"/>
        <v>0</v>
      </c>
      <c r="AN25" s="167"/>
      <c r="AO25" s="22"/>
      <c r="AP25" s="19"/>
    </row>
    <row r="26" spans="1:44" ht="51" customHeight="1" x14ac:dyDescent="0.25">
      <c r="A26" s="30">
        <v>11</v>
      </c>
      <c r="B26" s="31" t="s">
        <v>68</v>
      </c>
      <c r="C26" s="221">
        <v>8101114</v>
      </c>
      <c r="D26" s="59"/>
      <c r="E26" s="59"/>
      <c r="F26" s="59"/>
      <c r="G26" s="59"/>
      <c r="H26" s="59"/>
      <c r="I26" s="59"/>
      <c r="J26" s="59"/>
      <c r="K26" s="59">
        <v>1000</v>
      </c>
      <c r="L26" s="33"/>
      <c r="M26" s="34">
        <v>983.19999999999993</v>
      </c>
      <c r="N26" s="59">
        <v>44117</v>
      </c>
      <c r="O26" s="35">
        <v>44117</v>
      </c>
      <c r="P26" s="35"/>
      <c r="Q26" s="35"/>
      <c r="R26" s="35"/>
      <c r="S26" s="60"/>
      <c r="T26" s="35"/>
      <c r="U26" s="61"/>
      <c r="V26" s="62"/>
      <c r="W26" s="32">
        <f t="shared" si="8"/>
        <v>44117</v>
      </c>
      <c r="X26" s="210">
        <v>16690.63</v>
      </c>
      <c r="Y26" s="210"/>
      <c r="Z26" s="209">
        <f t="shared" si="4"/>
        <v>16690.63</v>
      </c>
      <c r="AA26" s="63">
        <f t="shared" si="15"/>
        <v>0.3783264954552667</v>
      </c>
      <c r="AB26" s="63">
        <f t="shared" si="16"/>
        <v>0.3783264954552667</v>
      </c>
      <c r="AC26" s="114">
        <v>1603</v>
      </c>
      <c r="AD26" s="177">
        <f t="shared" si="1"/>
        <v>1603</v>
      </c>
      <c r="AE26" s="33">
        <f t="shared" si="6"/>
        <v>27426.37</v>
      </c>
      <c r="AF26" s="64"/>
      <c r="AG26" s="64"/>
      <c r="AH26" s="41">
        <f t="shared" si="2"/>
        <v>27426.37</v>
      </c>
      <c r="AI26" s="65">
        <v>5000</v>
      </c>
      <c r="AJ26" s="125">
        <f t="shared" si="3"/>
        <v>22426.37</v>
      </c>
      <c r="AK26" s="126">
        <f t="shared" si="7"/>
        <v>0.49166149103520185</v>
      </c>
      <c r="AL26" s="122"/>
      <c r="AM26" s="64">
        <f t="shared" si="17"/>
        <v>27426.37</v>
      </c>
      <c r="AN26" s="166"/>
      <c r="AP26" s="19"/>
    </row>
    <row r="27" spans="1:44" ht="41.45" customHeight="1" x14ac:dyDescent="0.25">
      <c r="A27" s="30">
        <v>12</v>
      </c>
      <c r="B27" s="31" t="s">
        <v>69</v>
      </c>
      <c r="C27" s="221">
        <v>8100889</v>
      </c>
      <c r="D27" s="59"/>
      <c r="E27" s="59"/>
      <c r="F27" s="59"/>
      <c r="G27" s="59"/>
      <c r="H27" s="59"/>
      <c r="I27" s="59"/>
      <c r="J27" s="59"/>
      <c r="K27" s="59">
        <v>1100</v>
      </c>
      <c r="L27" s="33"/>
      <c r="M27" s="34">
        <v>1097.5700000000002</v>
      </c>
      <c r="N27" s="59">
        <v>48719</v>
      </c>
      <c r="O27" s="35">
        <v>50419</v>
      </c>
      <c r="P27" s="35"/>
      <c r="Q27" s="35"/>
      <c r="R27" s="35"/>
      <c r="S27" s="60"/>
      <c r="T27" s="35"/>
      <c r="U27" s="35"/>
      <c r="V27" s="69"/>
      <c r="W27" s="32">
        <f t="shared" si="8"/>
        <v>50419</v>
      </c>
      <c r="X27" s="210">
        <v>6541</v>
      </c>
      <c r="Y27" s="210">
        <v>8025</v>
      </c>
      <c r="Z27" s="209">
        <f t="shared" si="4"/>
        <v>14566</v>
      </c>
      <c r="AA27" s="63">
        <f t="shared" si="15"/>
        <v>0.28889902616077273</v>
      </c>
      <c r="AB27" s="63">
        <f t="shared" si="16"/>
        <v>0.29897986411872163</v>
      </c>
      <c r="AC27" s="114">
        <v>9058</v>
      </c>
      <c r="AD27" s="177">
        <f t="shared" si="1"/>
        <v>1033</v>
      </c>
      <c r="AE27" s="33">
        <f t="shared" si="6"/>
        <v>35853</v>
      </c>
      <c r="AF27" s="64"/>
      <c r="AG27" s="64"/>
      <c r="AH27" s="41">
        <f t="shared" si="2"/>
        <v>35853</v>
      </c>
      <c r="AI27" s="65">
        <v>3200</v>
      </c>
      <c r="AJ27" s="125">
        <f t="shared" si="3"/>
        <v>32653</v>
      </c>
      <c r="AK27" s="126">
        <f t="shared" si="7"/>
        <v>0.35236716317261352</v>
      </c>
      <c r="AL27" s="67"/>
      <c r="AM27" s="64">
        <f t="shared" si="17"/>
        <v>35853</v>
      </c>
      <c r="AN27" s="169"/>
    </row>
    <row r="28" spans="1:44" ht="46.15" customHeight="1" x14ac:dyDescent="0.25">
      <c r="A28" s="30">
        <v>13</v>
      </c>
      <c r="B28" s="31" t="s">
        <v>70</v>
      </c>
      <c r="C28" s="221">
        <v>8111370</v>
      </c>
      <c r="D28" s="59"/>
      <c r="E28" s="59"/>
      <c r="F28" s="59"/>
      <c r="G28" s="59"/>
      <c r="H28" s="59"/>
      <c r="I28" s="59"/>
      <c r="J28" s="59"/>
      <c r="K28" s="59">
        <v>1100</v>
      </c>
      <c r="L28" s="33"/>
      <c r="M28" s="34">
        <v>931.3</v>
      </c>
      <c r="N28" s="59">
        <v>63000</v>
      </c>
      <c r="O28" s="35">
        <v>70000</v>
      </c>
      <c r="P28" s="35"/>
      <c r="Q28" s="35">
        <v>-4562</v>
      </c>
      <c r="R28" s="35"/>
      <c r="S28" s="60"/>
      <c r="T28" s="35"/>
      <c r="U28" s="35"/>
      <c r="V28" s="69"/>
      <c r="W28" s="32">
        <f t="shared" si="8"/>
        <v>65438</v>
      </c>
      <c r="X28" s="210">
        <v>23084</v>
      </c>
      <c r="Y28" s="210">
        <v>6285</v>
      </c>
      <c r="Z28" s="209">
        <f t="shared" si="4"/>
        <v>29369</v>
      </c>
      <c r="AA28" s="63">
        <f t="shared" si="15"/>
        <v>0.44880650386625509</v>
      </c>
      <c r="AB28" s="63">
        <f t="shared" si="16"/>
        <v>0.46617460317460319</v>
      </c>
      <c r="AC28" s="114">
        <v>14725</v>
      </c>
      <c r="AD28" s="177">
        <f>AC28-Y28</f>
        <v>8440</v>
      </c>
      <c r="AE28" s="33">
        <f t="shared" si="6"/>
        <v>36069</v>
      </c>
      <c r="AF28" s="64"/>
      <c r="AG28" s="64"/>
      <c r="AH28" s="41">
        <f t="shared" si="2"/>
        <v>36069</v>
      </c>
      <c r="AI28" s="65">
        <v>15000</v>
      </c>
      <c r="AJ28" s="125">
        <f t="shared" si="3"/>
        <v>21069</v>
      </c>
      <c r="AK28" s="126">
        <f t="shared" si="7"/>
        <v>0.67803111342033684</v>
      </c>
      <c r="AL28" s="64"/>
      <c r="AM28" s="64">
        <f t="shared" si="17"/>
        <v>36069</v>
      </c>
      <c r="AN28" s="169"/>
      <c r="AR28" s="18"/>
    </row>
    <row r="29" spans="1:44" ht="40.15" customHeight="1" x14ac:dyDescent="0.25">
      <c r="A29" s="30">
        <v>14</v>
      </c>
      <c r="B29" s="31" t="s">
        <v>71</v>
      </c>
      <c r="C29" s="221">
        <v>8111981</v>
      </c>
      <c r="D29" s="59"/>
      <c r="E29" s="59"/>
      <c r="F29" s="59"/>
      <c r="G29" s="59"/>
      <c r="H29" s="59"/>
      <c r="I29" s="59"/>
      <c r="J29" s="59"/>
      <c r="K29" s="59">
        <v>300</v>
      </c>
      <c r="L29" s="33"/>
      <c r="M29" s="34">
        <v>272</v>
      </c>
      <c r="N29" s="59">
        <v>20</v>
      </c>
      <c r="O29" s="35">
        <v>20</v>
      </c>
      <c r="P29" s="35"/>
      <c r="Q29" s="35"/>
      <c r="R29" s="35"/>
      <c r="S29" s="60"/>
      <c r="T29" s="35"/>
      <c r="U29" s="35"/>
      <c r="V29" s="69"/>
      <c r="W29" s="32">
        <f t="shared" si="8"/>
        <v>20</v>
      </c>
      <c r="X29" s="210">
        <v>0</v>
      </c>
      <c r="Y29" s="210"/>
      <c r="Z29" s="209">
        <f t="shared" si="4"/>
        <v>0</v>
      </c>
      <c r="AA29" s="63">
        <f t="shared" si="15"/>
        <v>0</v>
      </c>
      <c r="AB29" s="63">
        <f t="shared" si="16"/>
        <v>0</v>
      </c>
      <c r="AC29" s="114">
        <v>20</v>
      </c>
      <c r="AD29" s="177">
        <f t="shared" si="1"/>
        <v>20</v>
      </c>
      <c r="AE29" s="33">
        <f t="shared" si="6"/>
        <v>20</v>
      </c>
      <c r="AF29" s="64"/>
      <c r="AG29" s="64"/>
      <c r="AH29" s="41">
        <f t="shared" si="2"/>
        <v>20</v>
      </c>
      <c r="AI29" s="65"/>
      <c r="AJ29" s="125">
        <f t="shared" si="3"/>
        <v>20</v>
      </c>
      <c r="AK29" s="126">
        <f t="shared" si="7"/>
        <v>0</v>
      </c>
      <c r="AL29" s="128"/>
      <c r="AM29" s="64">
        <f t="shared" si="17"/>
        <v>20</v>
      </c>
      <c r="AN29" s="169"/>
      <c r="AO29" s="18">
        <f>AO28-Z28</f>
        <v>-29369</v>
      </c>
    </row>
    <row r="30" spans="1:44" ht="36.6" customHeight="1" x14ac:dyDescent="0.25">
      <c r="A30" s="30">
        <v>15</v>
      </c>
      <c r="B30" s="31" t="s">
        <v>72</v>
      </c>
      <c r="C30" s="221">
        <v>8112964</v>
      </c>
      <c r="D30" s="59"/>
      <c r="E30" s="59"/>
      <c r="F30" s="59"/>
      <c r="G30" s="59"/>
      <c r="H30" s="59"/>
      <c r="I30" s="59"/>
      <c r="J30" s="59"/>
      <c r="K30" s="59">
        <v>340</v>
      </c>
      <c r="L30" s="33"/>
      <c r="M30" s="34">
        <v>339.3</v>
      </c>
      <c r="N30" s="59">
        <v>125</v>
      </c>
      <c r="O30" s="35">
        <v>125</v>
      </c>
      <c r="P30" s="35"/>
      <c r="Q30" s="35"/>
      <c r="R30" s="35"/>
      <c r="S30" s="60"/>
      <c r="T30" s="35"/>
      <c r="U30" s="35"/>
      <c r="V30" s="69"/>
      <c r="W30" s="32">
        <f t="shared" si="8"/>
        <v>125</v>
      </c>
      <c r="X30" s="210">
        <v>0</v>
      </c>
      <c r="Y30" s="210"/>
      <c r="Z30" s="209">
        <f t="shared" si="4"/>
        <v>0</v>
      </c>
      <c r="AA30" s="63">
        <f t="shared" si="15"/>
        <v>0</v>
      </c>
      <c r="AB30" s="63">
        <f t="shared" si="16"/>
        <v>0</v>
      </c>
      <c r="AC30" s="114">
        <v>125</v>
      </c>
      <c r="AD30" s="177">
        <f t="shared" si="1"/>
        <v>125</v>
      </c>
      <c r="AE30" s="33">
        <f t="shared" si="6"/>
        <v>125</v>
      </c>
      <c r="AF30" s="64"/>
      <c r="AG30" s="64"/>
      <c r="AH30" s="41">
        <f t="shared" si="2"/>
        <v>125</v>
      </c>
      <c r="AI30" s="65"/>
      <c r="AJ30" s="125">
        <f t="shared" si="3"/>
        <v>125</v>
      </c>
      <c r="AK30" s="126">
        <f t="shared" si="7"/>
        <v>0</v>
      </c>
      <c r="AL30" s="64"/>
      <c r="AM30" s="64">
        <f t="shared" si="17"/>
        <v>125</v>
      </c>
      <c r="AN30" s="167"/>
      <c r="AO30" s="18">
        <f>Z30-13579</f>
        <v>-13579</v>
      </c>
      <c r="AP30">
        <f>13104</f>
        <v>13104</v>
      </c>
    </row>
    <row r="31" spans="1:44" ht="40.15" customHeight="1" x14ac:dyDescent="0.25">
      <c r="A31" s="30">
        <v>16</v>
      </c>
      <c r="B31" s="31" t="s">
        <v>73</v>
      </c>
      <c r="C31" s="221">
        <v>8112963</v>
      </c>
      <c r="D31" s="59"/>
      <c r="E31" s="59"/>
      <c r="F31" s="59"/>
      <c r="G31" s="59"/>
      <c r="H31" s="59"/>
      <c r="I31" s="59"/>
      <c r="J31" s="59"/>
      <c r="K31" s="59">
        <v>210</v>
      </c>
      <c r="L31" s="33"/>
      <c r="M31" s="34">
        <v>209.78</v>
      </c>
      <c r="N31" s="59">
        <v>3500</v>
      </c>
      <c r="O31" s="35">
        <v>7575</v>
      </c>
      <c r="P31" s="35"/>
      <c r="Q31" s="35"/>
      <c r="R31" s="35"/>
      <c r="S31" s="60"/>
      <c r="T31" s="35"/>
      <c r="U31" s="61"/>
      <c r="V31" s="61"/>
      <c r="W31" s="32">
        <f t="shared" si="8"/>
        <v>7575</v>
      </c>
      <c r="X31" s="210">
        <v>0</v>
      </c>
      <c r="Y31" s="210"/>
      <c r="Z31" s="209">
        <f t="shared" si="4"/>
        <v>0</v>
      </c>
      <c r="AA31" s="78">
        <f t="shared" si="15"/>
        <v>0</v>
      </c>
      <c r="AB31" s="63">
        <f t="shared" si="16"/>
        <v>0</v>
      </c>
      <c r="AC31" s="114"/>
      <c r="AD31" s="177">
        <f t="shared" si="1"/>
        <v>0</v>
      </c>
      <c r="AE31" s="33">
        <f t="shared" si="6"/>
        <v>7575</v>
      </c>
      <c r="AF31" s="64"/>
      <c r="AG31" s="64"/>
      <c r="AH31" s="41">
        <f t="shared" si="2"/>
        <v>7575</v>
      </c>
      <c r="AI31" s="65"/>
      <c r="AJ31" s="125">
        <f t="shared" si="3"/>
        <v>7575</v>
      </c>
      <c r="AK31" s="127">
        <f t="shared" si="7"/>
        <v>0</v>
      </c>
      <c r="AL31" s="64"/>
      <c r="AM31" s="64">
        <f t="shared" si="17"/>
        <v>7575</v>
      </c>
      <c r="AN31" s="174" t="s">
        <v>74</v>
      </c>
      <c r="AP31" s="18">
        <f>AP30-Z30</f>
        <v>13104</v>
      </c>
    </row>
    <row r="32" spans="1:44" ht="37.5" customHeight="1" x14ac:dyDescent="0.25">
      <c r="A32" s="30">
        <v>17</v>
      </c>
      <c r="B32" s="31" t="s">
        <v>75</v>
      </c>
      <c r="C32" s="221" t="s">
        <v>131</v>
      </c>
      <c r="D32" s="59"/>
      <c r="E32" s="59"/>
      <c r="F32" s="59"/>
      <c r="G32" s="59"/>
      <c r="H32" s="59"/>
      <c r="I32" s="59"/>
      <c r="J32" s="59">
        <v>50</v>
      </c>
      <c r="K32" s="59">
        <v>954</v>
      </c>
      <c r="L32" s="33"/>
      <c r="M32" s="34">
        <v>898.03700000000003</v>
      </c>
      <c r="N32" s="59">
        <v>34000</v>
      </c>
      <c r="O32" s="35">
        <v>34000</v>
      </c>
      <c r="P32" s="35"/>
      <c r="Q32" s="35"/>
      <c r="R32" s="35"/>
      <c r="S32" s="60"/>
      <c r="T32" s="35"/>
      <c r="U32" s="35"/>
      <c r="V32" s="35"/>
      <c r="W32" s="32">
        <f t="shared" si="8"/>
        <v>34000</v>
      </c>
      <c r="X32" s="210">
        <v>0</v>
      </c>
      <c r="Y32" s="210"/>
      <c r="Z32" s="209">
        <f t="shared" si="4"/>
        <v>0</v>
      </c>
      <c r="AA32" s="63">
        <f t="shared" si="15"/>
        <v>0</v>
      </c>
      <c r="AB32" s="63">
        <f t="shared" si="16"/>
        <v>0</v>
      </c>
      <c r="AC32" s="114"/>
      <c r="AD32" s="177">
        <f t="shared" si="1"/>
        <v>0</v>
      </c>
      <c r="AE32" s="33">
        <f t="shared" si="6"/>
        <v>34000</v>
      </c>
      <c r="AF32" s="64"/>
      <c r="AG32" s="64"/>
      <c r="AH32" s="41">
        <f t="shared" si="2"/>
        <v>34000</v>
      </c>
      <c r="AI32" s="65"/>
      <c r="AJ32" s="125">
        <f t="shared" si="3"/>
        <v>34000</v>
      </c>
      <c r="AK32" s="126">
        <f t="shared" si="7"/>
        <v>0</v>
      </c>
      <c r="AL32" s="67"/>
      <c r="AM32" s="64">
        <f t="shared" si="17"/>
        <v>34000</v>
      </c>
      <c r="AN32" s="166"/>
      <c r="AO32">
        <v>24869</v>
      </c>
    </row>
    <row r="33" spans="1:46" ht="39" customHeight="1" x14ac:dyDescent="0.25">
      <c r="A33" s="30">
        <v>18</v>
      </c>
      <c r="B33" s="31" t="s">
        <v>76</v>
      </c>
      <c r="C33" s="221">
        <v>8111982</v>
      </c>
      <c r="D33" s="59"/>
      <c r="E33" s="59"/>
      <c r="F33" s="59"/>
      <c r="G33" s="59"/>
      <c r="H33" s="59"/>
      <c r="I33" s="59"/>
      <c r="J33" s="59"/>
      <c r="K33" s="59">
        <v>300</v>
      </c>
      <c r="L33" s="33"/>
      <c r="M33" s="34">
        <v>264.39999999999998</v>
      </c>
      <c r="N33" s="59">
        <v>21</v>
      </c>
      <c r="O33" s="35">
        <v>21</v>
      </c>
      <c r="P33" s="35"/>
      <c r="Q33" s="35"/>
      <c r="R33" s="35"/>
      <c r="S33" s="60"/>
      <c r="T33" s="35"/>
      <c r="U33" s="35"/>
      <c r="V33" s="35"/>
      <c r="W33" s="32">
        <f t="shared" si="8"/>
        <v>21</v>
      </c>
      <c r="X33" s="210">
        <v>0</v>
      </c>
      <c r="Y33" s="210"/>
      <c r="Z33" s="209">
        <f t="shared" si="4"/>
        <v>0</v>
      </c>
      <c r="AA33" s="63">
        <f t="shared" si="15"/>
        <v>0</v>
      </c>
      <c r="AB33" s="63">
        <f t="shared" si="16"/>
        <v>0</v>
      </c>
      <c r="AC33" s="114">
        <v>21</v>
      </c>
      <c r="AD33" s="177">
        <f t="shared" si="1"/>
        <v>21</v>
      </c>
      <c r="AE33" s="33">
        <f t="shared" si="6"/>
        <v>21</v>
      </c>
      <c r="AF33" s="64"/>
      <c r="AG33" s="64"/>
      <c r="AH33" s="41">
        <f t="shared" si="2"/>
        <v>21</v>
      </c>
      <c r="AI33" s="65"/>
      <c r="AJ33" s="125">
        <f t="shared" si="3"/>
        <v>21</v>
      </c>
      <c r="AK33" s="126">
        <f t="shared" si="7"/>
        <v>0</v>
      </c>
      <c r="AL33" s="64"/>
      <c r="AM33" s="64">
        <f t="shared" si="17"/>
        <v>21</v>
      </c>
      <c r="AN33" s="167"/>
      <c r="AO33" s="19">
        <f>10338</f>
        <v>10338</v>
      </c>
      <c r="AQ33">
        <v>158</v>
      </c>
    </row>
    <row r="34" spans="1:46" ht="61.9" customHeight="1" x14ac:dyDescent="0.25">
      <c r="A34" s="30">
        <v>19</v>
      </c>
      <c r="B34" s="31" t="s">
        <v>78</v>
      </c>
      <c r="C34" s="221">
        <v>8101113</v>
      </c>
      <c r="D34" s="59"/>
      <c r="E34" s="59"/>
      <c r="F34" s="59"/>
      <c r="G34" s="59"/>
      <c r="H34" s="59"/>
      <c r="I34" s="59"/>
      <c r="J34" s="59"/>
      <c r="K34" s="59">
        <v>1014</v>
      </c>
      <c r="L34" s="33"/>
      <c r="M34" s="34">
        <v>331.15</v>
      </c>
      <c r="N34" s="59">
        <v>10</v>
      </c>
      <c r="O34" s="35">
        <v>33</v>
      </c>
      <c r="P34" s="35"/>
      <c r="Q34" s="35"/>
      <c r="R34" s="35"/>
      <c r="S34" s="60"/>
      <c r="T34" s="35"/>
      <c r="U34" s="61"/>
      <c r="V34" s="62"/>
      <c r="W34" s="32">
        <f t="shared" si="8"/>
        <v>33</v>
      </c>
      <c r="X34" s="210">
        <v>0</v>
      </c>
      <c r="Y34" s="210"/>
      <c r="Z34" s="209">
        <f t="shared" si="4"/>
        <v>0</v>
      </c>
      <c r="AA34" s="63">
        <f t="shared" si="15"/>
        <v>0</v>
      </c>
      <c r="AB34" s="63">
        <f t="shared" si="16"/>
        <v>0</v>
      </c>
      <c r="AC34" s="114">
        <v>10</v>
      </c>
      <c r="AD34" s="177">
        <f t="shared" si="1"/>
        <v>10</v>
      </c>
      <c r="AE34" s="33">
        <f t="shared" si="6"/>
        <v>33</v>
      </c>
      <c r="AF34" s="64"/>
      <c r="AG34" s="64"/>
      <c r="AH34" s="41">
        <f t="shared" si="2"/>
        <v>33</v>
      </c>
      <c r="AI34" s="65"/>
      <c r="AJ34" s="125">
        <f t="shared" si="3"/>
        <v>33</v>
      </c>
      <c r="AK34" s="126">
        <f t="shared" si="7"/>
        <v>0</v>
      </c>
      <c r="AL34" s="67"/>
      <c r="AM34" s="64">
        <f t="shared" si="17"/>
        <v>33</v>
      </c>
      <c r="AN34" s="166"/>
      <c r="AQ34">
        <v>55</v>
      </c>
    </row>
    <row r="35" spans="1:46" ht="48" customHeight="1" x14ac:dyDescent="0.25">
      <c r="A35" s="30">
        <v>20</v>
      </c>
      <c r="B35" s="31" t="s">
        <v>79</v>
      </c>
      <c r="C35" s="221">
        <v>8101117</v>
      </c>
      <c r="D35" s="59"/>
      <c r="E35" s="59"/>
      <c r="F35" s="59"/>
      <c r="G35" s="59"/>
      <c r="H35" s="59"/>
      <c r="I35" s="59"/>
      <c r="J35" s="59"/>
      <c r="K35" s="59">
        <v>500</v>
      </c>
      <c r="L35" s="33"/>
      <c r="M35" s="34">
        <v>115.9</v>
      </c>
      <c r="N35" s="59">
        <v>10</v>
      </c>
      <c r="O35" s="35">
        <v>10</v>
      </c>
      <c r="P35" s="35"/>
      <c r="Q35" s="35"/>
      <c r="R35" s="35"/>
      <c r="S35" s="60"/>
      <c r="T35" s="35"/>
      <c r="U35" s="61"/>
      <c r="V35" s="62"/>
      <c r="W35" s="32">
        <f t="shared" si="8"/>
        <v>10</v>
      </c>
      <c r="X35" s="210">
        <v>0</v>
      </c>
      <c r="Y35" s="210"/>
      <c r="Z35" s="209">
        <f t="shared" si="4"/>
        <v>0</v>
      </c>
      <c r="AA35" s="63">
        <f t="shared" si="15"/>
        <v>0</v>
      </c>
      <c r="AB35" s="63">
        <f t="shared" si="16"/>
        <v>0</v>
      </c>
      <c r="AC35" s="114">
        <v>10</v>
      </c>
      <c r="AD35" s="177">
        <f t="shared" si="1"/>
        <v>10</v>
      </c>
      <c r="AE35" s="33">
        <f t="shared" si="6"/>
        <v>10</v>
      </c>
      <c r="AF35" s="64"/>
      <c r="AG35" s="64"/>
      <c r="AH35" s="41">
        <f t="shared" si="2"/>
        <v>10</v>
      </c>
      <c r="AI35" s="65"/>
      <c r="AJ35" s="125">
        <f t="shared" si="3"/>
        <v>10</v>
      </c>
      <c r="AK35" s="126">
        <f t="shared" si="7"/>
        <v>0</v>
      </c>
      <c r="AL35" s="67"/>
      <c r="AM35" s="64">
        <f t="shared" si="17"/>
        <v>10</v>
      </c>
      <c r="AN35" s="166"/>
    </row>
    <row r="36" spans="1:46" ht="46.9" customHeight="1" x14ac:dyDescent="0.25">
      <c r="A36" s="30">
        <v>21</v>
      </c>
      <c r="B36" s="31" t="s">
        <v>80</v>
      </c>
      <c r="C36" s="221">
        <v>8100890</v>
      </c>
      <c r="D36" s="59"/>
      <c r="E36" s="59"/>
      <c r="F36" s="59"/>
      <c r="G36" s="59"/>
      <c r="H36" s="59"/>
      <c r="I36" s="59"/>
      <c r="J36" s="59"/>
      <c r="K36" s="59">
        <v>1000</v>
      </c>
      <c r="L36" s="33"/>
      <c r="M36" s="34">
        <v>173.7</v>
      </c>
      <c r="N36" s="59">
        <v>10</v>
      </c>
      <c r="O36" s="35">
        <v>10</v>
      </c>
      <c r="P36" s="35"/>
      <c r="Q36" s="35"/>
      <c r="R36" s="35"/>
      <c r="S36" s="60"/>
      <c r="T36" s="35"/>
      <c r="U36" s="35"/>
      <c r="V36" s="35"/>
      <c r="W36" s="32">
        <f t="shared" si="8"/>
        <v>10</v>
      </c>
      <c r="X36" s="210">
        <v>0</v>
      </c>
      <c r="Y36" s="210"/>
      <c r="Z36" s="209">
        <f t="shared" si="4"/>
        <v>0</v>
      </c>
      <c r="AA36" s="63">
        <f t="shared" si="15"/>
        <v>0</v>
      </c>
      <c r="AB36" s="63">
        <f t="shared" si="16"/>
        <v>0</v>
      </c>
      <c r="AC36" s="114">
        <v>10</v>
      </c>
      <c r="AD36" s="177">
        <f t="shared" si="1"/>
        <v>10</v>
      </c>
      <c r="AE36" s="33">
        <f t="shared" si="6"/>
        <v>10</v>
      </c>
      <c r="AF36" s="64"/>
      <c r="AG36" s="64"/>
      <c r="AH36" s="41">
        <f t="shared" si="2"/>
        <v>10</v>
      </c>
      <c r="AI36" s="65"/>
      <c r="AJ36" s="125">
        <f t="shared" si="3"/>
        <v>10</v>
      </c>
      <c r="AK36" s="126">
        <f t="shared" si="7"/>
        <v>0</v>
      </c>
      <c r="AL36" s="64"/>
      <c r="AM36" s="64">
        <f t="shared" si="17"/>
        <v>10</v>
      </c>
      <c r="AN36" s="166"/>
    </row>
    <row r="37" spans="1:46" ht="37.15" customHeight="1" x14ac:dyDescent="0.25">
      <c r="A37" s="30">
        <v>22</v>
      </c>
      <c r="B37" s="31" t="s">
        <v>81</v>
      </c>
      <c r="C37" s="221">
        <v>8101116</v>
      </c>
      <c r="D37" s="59"/>
      <c r="E37" s="59"/>
      <c r="F37" s="59"/>
      <c r="G37" s="59"/>
      <c r="H37" s="59"/>
      <c r="I37" s="59"/>
      <c r="J37" s="59"/>
      <c r="K37" s="59">
        <v>700</v>
      </c>
      <c r="L37" s="33"/>
      <c r="M37" s="34">
        <v>239.99999999999997</v>
      </c>
      <c r="N37" s="59">
        <v>20</v>
      </c>
      <c r="O37" s="35">
        <v>20</v>
      </c>
      <c r="P37" s="35"/>
      <c r="Q37" s="35"/>
      <c r="R37" s="35"/>
      <c r="S37" s="60"/>
      <c r="T37" s="35"/>
      <c r="U37" s="61"/>
      <c r="V37" s="62"/>
      <c r="W37" s="32">
        <f t="shared" si="8"/>
        <v>20</v>
      </c>
      <c r="X37" s="210">
        <v>0</v>
      </c>
      <c r="Y37" s="210"/>
      <c r="Z37" s="209">
        <f t="shared" si="4"/>
        <v>0</v>
      </c>
      <c r="AA37" s="63">
        <f t="shared" si="15"/>
        <v>0</v>
      </c>
      <c r="AB37" s="63">
        <f t="shared" si="16"/>
        <v>0</v>
      </c>
      <c r="AC37" s="114">
        <v>20</v>
      </c>
      <c r="AD37" s="177">
        <f t="shared" si="1"/>
        <v>20</v>
      </c>
      <c r="AE37" s="33">
        <f t="shared" si="6"/>
        <v>20</v>
      </c>
      <c r="AF37" s="64"/>
      <c r="AG37" s="64"/>
      <c r="AH37" s="41">
        <f t="shared" si="2"/>
        <v>20</v>
      </c>
      <c r="AI37" s="65"/>
      <c r="AJ37" s="125">
        <f t="shared" si="3"/>
        <v>20</v>
      </c>
      <c r="AK37" s="126">
        <f t="shared" si="7"/>
        <v>0</v>
      </c>
      <c r="AL37" s="67"/>
      <c r="AM37" s="64">
        <f t="shared" si="17"/>
        <v>20</v>
      </c>
      <c r="AN37" s="166"/>
    </row>
    <row r="38" spans="1:46" ht="47.45" customHeight="1" x14ac:dyDescent="0.25">
      <c r="A38" s="30">
        <v>23</v>
      </c>
      <c r="B38" s="31" t="s">
        <v>82</v>
      </c>
      <c r="C38" s="221">
        <v>8101115</v>
      </c>
      <c r="D38" s="59"/>
      <c r="E38" s="59"/>
      <c r="F38" s="59"/>
      <c r="G38" s="59"/>
      <c r="H38" s="59"/>
      <c r="I38" s="59"/>
      <c r="J38" s="59"/>
      <c r="K38" s="59">
        <v>1556</v>
      </c>
      <c r="L38" s="33"/>
      <c r="M38" s="34">
        <v>306.99099999999999</v>
      </c>
      <c r="N38" s="59">
        <v>50</v>
      </c>
      <c r="O38" s="35">
        <v>50</v>
      </c>
      <c r="P38" s="35"/>
      <c r="Q38" s="35"/>
      <c r="R38" s="35"/>
      <c r="S38" s="60"/>
      <c r="T38" s="35"/>
      <c r="U38" s="61"/>
      <c r="V38" s="62"/>
      <c r="W38" s="32">
        <f t="shared" si="8"/>
        <v>50</v>
      </c>
      <c r="X38" s="210">
        <v>0</v>
      </c>
      <c r="Y38" s="210"/>
      <c r="Z38" s="209">
        <f t="shared" si="4"/>
        <v>0</v>
      </c>
      <c r="AA38" s="63">
        <f t="shared" si="15"/>
        <v>0</v>
      </c>
      <c r="AB38" s="63">
        <f t="shared" si="16"/>
        <v>0</v>
      </c>
      <c r="AC38" s="114">
        <v>50</v>
      </c>
      <c r="AD38" s="177">
        <f t="shared" si="1"/>
        <v>50</v>
      </c>
      <c r="AE38" s="33">
        <f t="shared" si="6"/>
        <v>50</v>
      </c>
      <c r="AF38" s="64"/>
      <c r="AG38" s="64"/>
      <c r="AH38" s="41">
        <f t="shared" si="2"/>
        <v>50</v>
      </c>
      <c r="AI38" s="65"/>
      <c r="AJ38" s="125">
        <f t="shared" si="3"/>
        <v>50</v>
      </c>
      <c r="AK38" s="126">
        <f t="shared" si="7"/>
        <v>0</v>
      </c>
      <c r="AL38" s="67"/>
      <c r="AM38" s="64">
        <f t="shared" si="17"/>
        <v>50</v>
      </c>
      <c r="AN38" s="166"/>
    </row>
    <row r="39" spans="1:46" ht="60" x14ac:dyDescent="0.25">
      <c r="A39" s="30">
        <v>24</v>
      </c>
      <c r="B39" s="31" t="s">
        <v>83</v>
      </c>
      <c r="C39" s="221">
        <v>8101736</v>
      </c>
      <c r="D39" s="59"/>
      <c r="E39" s="59"/>
      <c r="F39" s="59"/>
      <c r="G39" s="59"/>
      <c r="H39" s="59"/>
      <c r="I39" s="59"/>
      <c r="J39" s="59"/>
      <c r="K39" s="59">
        <v>3750</v>
      </c>
      <c r="L39" s="33"/>
      <c r="M39" s="34">
        <v>507.4</v>
      </c>
      <c r="N39" s="59">
        <v>50</v>
      </c>
      <c r="O39" s="35">
        <v>50</v>
      </c>
      <c r="P39" s="35"/>
      <c r="Q39" s="35"/>
      <c r="R39" s="35"/>
      <c r="S39" s="60"/>
      <c r="T39" s="35"/>
      <c r="U39" s="61"/>
      <c r="V39" s="62"/>
      <c r="W39" s="32">
        <f t="shared" si="8"/>
        <v>50</v>
      </c>
      <c r="X39" s="210">
        <v>0</v>
      </c>
      <c r="Y39" s="210"/>
      <c r="Z39" s="209">
        <f t="shared" si="4"/>
        <v>0</v>
      </c>
      <c r="AA39" s="63">
        <f t="shared" si="15"/>
        <v>0</v>
      </c>
      <c r="AB39" s="63">
        <f t="shared" si="16"/>
        <v>0</v>
      </c>
      <c r="AC39" s="114">
        <v>50</v>
      </c>
      <c r="AD39" s="177">
        <f t="shared" si="1"/>
        <v>50</v>
      </c>
      <c r="AE39" s="33">
        <f t="shared" si="6"/>
        <v>50</v>
      </c>
      <c r="AF39" s="64"/>
      <c r="AG39" s="64"/>
      <c r="AH39" s="41">
        <f t="shared" si="2"/>
        <v>50</v>
      </c>
      <c r="AI39" s="65"/>
      <c r="AJ39" s="125">
        <f t="shared" si="3"/>
        <v>50</v>
      </c>
      <c r="AK39" s="126">
        <f t="shared" si="7"/>
        <v>0</v>
      </c>
      <c r="AL39" s="67"/>
      <c r="AM39" s="64">
        <f t="shared" si="17"/>
        <v>50</v>
      </c>
      <c r="AN39" s="171"/>
      <c r="AT39" s="176">
        <f>763431166</f>
        <v>763431166</v>
      </c>
    </row>
    <row r="40" spans="1:46" ht="45" x14ac:dyDescent="0.25">
      <c r="A40" s="30">
        <v>25</v>
      </c>
      <c r="B40" s="31" t="s">
        <v>84</v>
      </c>
      <c r="C40" s="221">
        <v>8112949</v>
      </c>
      <c r="D40" s="59"/>
      <c r="E40" s="59"/>
      <c r="F40" s="59"/>
      <c r="G40" s="59"/>
      <c r="H40" s="59"/>
      <c r="I40" s="59"/>
      <c r="J40" s="59"/>
      <c r="K40" s="59">
        <v>250</v>
      </c>
      <c r="L40" s="33"/>
      <c r="M40" s="34">
        <v>182.3</v>
      </c>
      <c r="N40" s="59">
        <v>15</v>
      </c>
      <c r="O40" s="35">
        <v>15</v>
      </c>
      <c r="P40" s="35"/>
      <c r="Q40" s="35"/>
      <c r="R40" s="35"/>
      <c r="S40" s="60"/>
      <c r="T40" s="35"/>
      <c r="U40" s="61"/>
      <c r="V40" s="61"/>
      <c r="W40" s="32">
        <f t="shared" si="8"/>
        <v>15</v>
      </c>
      <c r="X40" s="210">
        <v>0</v>
      </c>
      <c r="Y40" s="210"/>
      <c r="Z40" s="209">
        <f t="shared" si="4"/>
        <v>0</v>
      </c>
      <c r="AA40" s="63">
        <f t="shared" si="15"/>
        <v>0</v>
      </c>
      <c r="AB40" s="63">
        <f t="shared" si="16"/>
        <v>0</v>
      </c>
      <c r="AC40" s="114">
        <v>15</v>
      </c>
      <c r="AD40" s="177">
        <f t="shared" si="1"/>
        <v>15</v>
      </c>
      <c r="AE40" s="33">
        <f t="shared" si="6"/>
        <v>15</v>
      </c>
      <c r="AF40" s="64"/>
      <c r="AG40" s="64"/>
      <c r="AH40" s="41">
        <f t="shared" si="2"/>
        <v>15</v>
      </c>
      <c r="AI40" s="65"/>
      <c r="AJ40" s="125">
        <f t="shared" si="3"/>
        <v>15</v>
      </c>
      <c r="AK40" s="126">
        <f t="shared" si="7"/>
        <v>0</v>
      </c>
      <c r="AL40" s="67"/>
      <c r="AM40" s="64">
        <f t="shared" si="17"/>
        <v>15</v>
      </c>
      <c r="AN40" s="167"/>
      <c r="AT40" s="176">
        <f>46268556</f>
        <v>46268556</v>
      </c>
    </row>
    <row r="41" spans="1:46" ht="57.6" customHeight="1" x14ac:dyDescent="0.25">
      <c r="A41" s="30">
        <v>26</v>
      </c>
      <c r="B41" s="31" t="s">
        <v>85</v>
      </c>
      <c r="C41" s="221">
        <v>8111980</v>
      </c>
      <c r="D41" s="59"/>
      <c r="E41" s="59"/>
      <c r="F41" s="59"/>
      <c r="G41" s="59"/>
      <c r="H41" s="59"/>
      <c r="I41" s="59"/>
      <c r="J41" s="59"/>
      <c r="K41" s="59">
        <v>418</v>
      </c>
      <c r="L41" s="33"/>
      <c r="M41" s="34">
        <v>359.4</v>
      </c>
      <c r="N41" s="59">
        <v>33</v>
      </c>
      <c r="O41" s="35">
        <v>33</v>
      </c>
      <c r="P41" s="35"/>
      <c r="Q41" s="35"/>
      <c r="R41" s="35"/>
      <c r="S41" s="60"/>
      <c r="T41" s="35"/>
      <c r="U41" s="61"/>
      <c r="V41" s="61"/>
      <c r="W41" s="32">
        <f t="shared" si="8"/>
        <v>33</v>
      </c>
      <c r="X41" s="210">
        <v>0</v>
      </c>
      <c r="Y41" s="210"/>
      <c r="Z41" s="209">
        <f t="shared" si="4"/>
        <v>0</v>
      </c>
      <c r="AA41" s="63">
        <f t="shared" si="15"/>
        <v>0</v>
      </c>
      <c r="AB41" s="63">
        <f t="shared" si="16"/>
        <v>0</v>
      </c>
      <c r="AC41" s="114">
        <v>50</v>
      </c>
      <c r="AD41" s="177">
        <f t="shared" si="1"/>
        <v>50</v>
      </c>
      <c r="AE41" s="33">
        <f t="shared" si="6"/>
        <v>33</v>
      </c>
      <c r="AF41" s="64"/>
      <c r="AG41" s="64"/>
      <c r="AH41" s="41">
        <f t="shared" si="2"/>
        <v>33</v>
      </c>
      <c r="AI41" s="65"/>
      <c r="AJ41" s="125">
        <f t="shared" si="3"/>
        <v>33</v>
      </c>
      <c r="AK41" s="126">
        <f t="shared" si="7"/>
        <v>0</v>
      </c>
      <c r="AL41" s="67"/>
      <c r="AM41" s="64">
        <f t="shared" si="17"/>
        <v>33</v>
      </c>
      <c r="AN41" s="167"/>
    </row>
    <row r="42" spans="1:46" ht="85.9" customHeight="1" x14ac:dyDescent="0.25">
      <c r="A42" s="30">
        <v>27</v>
      </c>
      <c r="B42" s="31" t="s">
        <v>86</v>
      </c>
      <c r="C42" s="221">
        <v>8113485</v>
      </c>
      <c r="D42" s="59"/>
      <c r="E42" s="59"/>
      <c r="F42" s="59"/>
      <c r="G42" s="59"/>
      <c r="H42" s="59"/>
      <c r="I42" s="59"/>
      <c r="J42" s="59"/>
      <c r="K42" s="59">
        <v>500</v>
      </c>
      <c r="L42" s="33"/>
      <c r="M42" s="34">
        <v>442</v>
      </c>
      <c r="N42" s="59">
        <v>50</v>
      </c>
      <c r="O42" s="35">
        <v>50</v>
      </c>
      <c r="P42" s="35"/>
      <c r="Q42" s="35"/>
      <c r="R42" s="35"/>
      <c r="S42" s="60"/>
      <c r="T42" s="35"/>
      <c r="U42" s="35"/>
      <c r="V42" s="69"/>
      <c r="W42" s="32">
        <f t="shared" si="8"/>
        <v>50</v>
      </c>
      <c r="X42" s="210">
        <v>0</v>
      </c>
      <c r="Y42" s="210"/>
      <c r="Z42" s="209">
        <f t="shared" si="4"/>
        <v>0</v>
      </c>
      <c r="AA42" s="63">
        <f t="shared" si="15"/>
        <v>0</v>
      </c>
      <c r="AB42" s="63">
        <f t="shared" si="16"/>
        <v>0</v>
      </c>
      <c r="AC42" s="114">
        <v>50</v>
      </c>
      <c r="AD42" s="177">
        <f t="shared" si="1"/>
        <v>50</v>
      </c>
      <c r="AE42" s="33">
        <f t="shared" si="6"/>
        <v>50</v>
      </c>
      <c r="AF42" s="64"/>
      <c r="AG42" s="64"/>
      <c r="AH42" s="41">
        <f t="shared" si="2"/>
        <v>50</v>
      </c>
      <c r="AI42" s="65"/>
      <c r="AJ42" s="125">
        <f t="shared" si="3"/>
        <v>50</v>
      </c>
      <c r="AK42" s="126">
        <f t="shared" si="7"/>
        <v>0</v>
      </c>
      <c r="AL42" s="67"/>
      <c r="AM42" s="64">
        <f t="shared" si="17"/>
        <v>50</v>
      </c>
      <c r="AN42" s="167"/>
    </row>
    <row r="43" spans="1:46" ht="48" customHeight="1" x14ac:dyDescent="0.25">
      <c r="A43" s="30">
        <v>28</v>
      </c>
      <c r="B43" s="31" t="s">
        <v>87</v>
      </c>
      <c r="C43" s="221">
        <v>8113487</v>
      </c>
      <c r="D43" s="59"/>
      <c r="E43" s="59"/>
      <c r="F43" s="59"/>
      <c r="G43" s="59"/>
      <c r="H43" s="59"/>
      <c r="I43" s="59"/>
      <c r="J43" s="59"/>
      <c r="K43" s="59">
        <v>2000</v>
      </c>
      <c r="L43" s="33"/>
      <c r="M43" s="34">
        <v>229</v>
      </c>
      <c r="N43" s="59">
        <v>10</v>
      </c>
      <c r="O43" s="35">
        <v>50</v>
      </c>
      <c r="P43" s="35"/>
      <c r="Q43" s="35"/>
      <c r="R43" s="35"/>
      <c r="S43" s="60"/>
      <c r="T43" s="35"/>
      <c r="U43" s="61"/>
      <c r="V43" s="62"/>
      <c r="W43" s="32">
        <f t="shared" si="8"/>
        <v>50</v>
      </c>
      <c r="X43" s="210">
        <v>0</v>
      </c>
      <c r="Y43" s="210"/>
      <c r="Z43" s="209">
        <f t="shared" si="4"/>
        <v>0</v>
      </c>
      <c r="AA43" s="63">
        <f t="shared" si="15"/>
        <v>0</v>
      </c>
      <c r="AB43" s="63">
        <f t="shared" si="16"/>
        <v>0</v>
      </c>
      <c r="AC43" s="114">
        <v>10</v>
      </c>
      <c r="AD43" s="177">
        <f t="shared" si="1"/>
        <v>10</v>
      </c>
      <c r="AE43" s="33">
        <f t="shared" si="6"/>
        <v>50</v>
      </c>
      <c r="AF43" s="64"/>
      <c r="AG43" s="64"/>
      <c r="AH43" s="41">
        <f t="shared" si="2"/>
        <v>50</v>
      </c>
      <c r="AI43" s="65"/>
      <c r="AJ43" s="125">
        <f t="shared" si="3"/>
        <v>50</v>
      </c>
      <c r="AK43" s="126">
        <f t="shared" si="7"/>
        <v>0</v>
      </c>
      <c r="AL43" s="67"/>
      <c r="AM43" s="64">
        <f t="shared" si="17"/>
        <v>50</v>
      </c>
      <c r="AN43" s="167"/>
    </row>
    <row r="44" spans="1:46" ht="46.15" customHeight="1" x14ac:dyDescent="0.25">
      <c r="A44" s="30">
        <v>29</v>
      </c>
      <c r="B44" s="31" t="s">
        <v>88</v>
      </c>
      <c r="C44" s="221">
        <v>8112948</v>
      </c>
      <c r="D44" s="59"/>
      <c r="E44" s="59"/>
      <c r="F44" s="59"/>
      <c r="G44" s="59"/>
      <c r="H44" s="59"/>
      <c r="I44" s="59"/>
      <c r="J44" s="59"/>
      <c r="K44" s="59">
        <v>284</v>
      </c>
      <c r="L44" s="33"/>
      <c r="M44" s="34">
        <v>129.5</v>
      </c>
      <c r="N44" s="59">
        <v>6</v>
      </c>
      <c r="O44" s="35">
        <v>6</v>
      </c>
      <c r="P44" s="35"/>
      <c r="Q44" s="35"/>
      <c r="R44" s="35"/>
      <c r="S44" s="60"/>
      <c r="T44" s="35"/>
      <c r="U44" s="61"/>
      <c r="V44" s="61"/>
      <c r="W44" s="32">
        <f t="shared" si="8"/>
        <v>6</v>
      </c>
      <c r="X44" s="210">
        <v>0</v>
      </c>
      <c r="Y44" s="210"/>
      <c r="Z44" s="209">
        <f t="shared" si="4"/>
        <v>0</v>
      </c>
      <c r="AA44" s="63">
        <f t="shared" si="15"/>
        <v>0</v>
      </c>
      <c r="AB44" s="63">
        <f t="shared" si="16"/>
        <v>0</v>
      </c>
      <c r="AC44" s="114">
        <v>6</v>
      </c>
      <c r="AD44" s="177">
        <f t="shared" si="1"/>
        <v>6</v>
      </c>
      <c r="AE44" s="33">
        <f t="shared" si="6"/>
        <v>6</v>
      </c>
      <c r="AF44" s="64"/>
      <c r="AG44" s="64"/>
      <c r="AH44" s="41">
        <f t="shared" si="2"/>
        <v>6</v>
      </c>
      <c r="AI44" s="65"/>
      <c r="AJ44" s="125">
        <f t="shared" si="3"/>
        <v>6</v>
      </c>
      <c r="AK44" s="126">
        <f t="shared" si="7"/>
        <v>0</v>
      </c>
      <c r="AL44" s="67"/>
      <c r="AM44" s="64">
        <f t="shared" si="17"/>
        <v>6</v>
      </c>
      <c r="AN44" s="167"/>
    </row>
    <row r="45" spans="1:46" ht="51.6" customHeight="1" x14ac:dyDescent="0.25">
      <c r="A45" s="30">
        <v>30</v>
      </c>
      <c r="B45" s="31" t="s">
        <v>89</v>
      </c>
      <c r="C45" s="221">
        <v>8118634</v>
      </c>
      <c r="D45" s="59"/>
      <c r="E45" s="59"/>
      <c r="F45" s="59"/>
      <c r="G45" s="59"/>
      <c r="H45" s="59"/>
      <c r="I45" s="59"/>
      <c r="J45" s="59"/>
      <c r="K45" s="59">
        <v>460</v>
      </c>
      <c r="L45" s="33"/>
      <c r="M45" s="34">
        <v>388.14</v>
      </c>
      <c r="N45" s="59">
        <v>23</v>
      </c>
      <c r="O45" s="35">
        <v>23</v>
      </c>
      <c r="P45" s="35"/>
      <c r="Q45" s="35"/>
      <c r="R45" s="35"/>
      <c r="S45" s="60"/>
      <c r="T45" s="35"/>
      <c r="U45" s="61"/>
      <c r="V45" s="61"/>
      <c r="W45" s="32">
        <f t="shared" si="8"/>
        <v>23</v>
      </c>
      <c r="X45" s="210">
        <v>0</v>
      </c>
      <c r="Y45" s="210"/>
      <c r="Z45" s="209">
        <f t="shared" si="4"/>
        <v>0</v>
      </c>
      <c r="AA45" s="63">
        <f t="shared" si="15"/>
        <v>0</v>
      </c>
      <c r="AB45" s="63">
        <f t="shared" si="16"/>
        <v>0</v>
      </c>
      <c r="AC45" s="114">
        <v>23</v>
      </c>
      <c r="AD45" s="177">
        <f t="shared" si="1"/>
        <v>23</v>
      </c>
      <c r="AE45" s="33">
        <f t="shared" si="6"/>
        <v>23</v>
      </c>
      <c r="AF45" s="64"/>
      <c r="AG45" s="64"/>
      <c r="AH45" s="41">
        <f t="shared" si="2"/>
        <v>23</v>
      </c>
      <c r="AI45" s="65"/>
      <c r="AJ45" s="125">
        <f t="shared" si="3"/>
        <v>23</v>
      </c>
      <c r="AK45" s="126">
        <f t="shared" si="7"/>
        <v>0</v>
      </c>
      <c r="AL45" s="67"/>
      <c r="AM45" s="64">
        <f t="shared" si="17"/>
        <v>23</v>
      </c>
      <c r="AN45" s="167"/>
    </row>
    <row r="46" spans="1:46" ht="60.6" customHeight="1" x14ac:dyDescent="0.25">
      <c r="A46" s="30">
        <v>31</v>
      </c>
      <c r="B46" s="31" t="s">
        <v>90</v>
      </c>
      <c r="C46" s="221">
        <v>8111984</v>
      </c>
      <c r="D46" s="59"/>
      <c r="E46" s="59"/>
      <c r="F46" s="59"/>
      <c r="G46" s="59"/>
      <c r="H46" s="59"/>
      <c r="I46" s="59"/>
      <c r="J46" s="59"/>
      <c r="K46" s="59">
        <v>3000</v>
      </c>
      <c r="L46" s="33"/>
      <c r="M46" s="34">
        <v>531</v>
      </c>
      <c r="N46" s="59">
        <v>25</v>
      </c>
      <c r="O46" s="35">
        <v>25</v>
      </c>
      <c r="P46" s="35"/>
      <c r="Q46" s="35"/>
      <c r="R46" s="35"/>
      <c r="S46" s="60"/>
      <c r="T46" s="35"/>
      <c r="U46" s="61"/>
      <c r="V46" s="62"/>
      <c r="W46" s="32">
        <f t="shared" si="8"/>
        <v>25</v>
      </c>
      <c r="X46" s="210">
        <v>0</v>
      </c>
      <c r="Y46" s="210"/>
      <c r="Z46" s="209">
        <f t="shared" si="4"/>
        <v>0</v>
      </c>
      <c r="AA46" s="63">
        <f t="shared" si="15"/>
        <v>0</v>
      </c>
      <c r="AB46" s="63">
        <f t="shared" si="16"/>
        <v>0</v>
      </c>
      <c r="AC46" s="114">
        <v>25</v>
      </c>
      <c r="AD46" s="177">
        <f t="shared" si="1"/>
        <v>25</v>
      </c>
      <c r="AE46" s="33">
        <f t="shared" si="6"/>
        <v>25</v>
      </c>
      <c r="AF46" s="64"/>
      <c r="AG46" s="64"/>
      <c r="AH46" s="41">
        <f t="shared" si="2"/>
        <v>25</v>
      </c>
      <c r="AI46" s="65"/>
      <c r="AJ46" s="125">
        <f t="shared" si="3"/>
        <v>25</v>
      </c>
      <c r="AK46" s="126">
        <f t="shared" si="7"/>
        <v>0</v>
      </c>
      <c r="AL46" s="67"/>
      <c r="AM46" s="64">
        <f t="shared" si="17"/>
        <v>25</v>
      </c>
      <c r="AN46" s="167"/>
    </row>
    <row r="47" spans="1:46" ht="61.9" customHeight="1" x14ac:dyDescent="0.25">
      <c r="A47" s="30">
        <v>32</v>
      </c>
      <c r="B47" s="31" t="s">
        <v>91</v>
      </c>
      <c r="C47" s="221">
        <v>8111979</v>
      </c>
      <c r="D47" s="59"/>
      <c r="E47" s="59"/>
      <c r="F47" s="59"/>
      <c r="G47" s="59"/>
      <c r="H47" s="59"/>
      <c r="I47" s="59"/>
      <c r="J47" s="59"/>
      <c r="K47" s="59">
        <v>3000</v>
      </c>
      <c r="L47" s="33"/>
      <c r="M47" s="34">
        <v>547.70000000000005</v>
      </c>
      <c r="N47" s="59"/>
      <c r="O47" s="35"/>
      <c r="P47" s="35"/>
      <c r="Q47" s="35"/>
      <c r="R47" s="35"/>
      <c r="S47" s="60"/>
      <c r="T47" s="35"/>
      <c r="U47" s="35"/>
      <c r="V47" s="69"/>
      <c r="W47" s="32">
        <f t="shared" si="8"/>
        <v>0</v>
      </c>
      <c r="X47" s="210">
        <v>0</v>
      </c>
      <c r="Y47" s="210"/>
      <c r="Z47" s="209">
        <f t="shared" si="4"/>
        <v>0</v>
      </c>
      <c r="AA47" s="63">
        <v>0</v>
      </c>
      <c r="AB47" s="63">
        <v>0</v>
      </c>
      <c r="AC47" s="114"/>
      <c r="AD47" s="177">
        <f t="shared" si="1"/>
        <v>0</v>
      </c>
      <c r="AE47" s="33">
        <f t="shared" si="6"/>
        <v>0</v>
      </c>
      <c r="AF47" s="64"/>
      <c r="AG47" s="64"/>
      <c r="AH47" s="41">
        <f t="shared" si="2"/>
        <v>0</v>
      </c>
      <c r="AI47" s="65"/>
      <c r="AJ47" s="125">
        <f t="shared" si="3"/>
        <v>0</v>
      </c>
      <c r="AK47" s="126" t="e">
        <f t="shared" si="7"/>
        <v>#DIV/0!</v>
      </c>
      <c r="AL47" s="67"/>
      <c r="AM47" s="64">
        <f t="shared" si="17"/>
        <v>0</v>
      </c>
      <c r="AN47" s="167"/>
    </row>
    <row r="48" spans="1:46" ht="51.6" customHeight="1" x14ac:dyDescent="0.25">
      <c r="A48" s="30">
        <v>33</v>
      </c>
      <c r="B48" s="31" t="s">
        <v>92</v>
      </c>
      <c r="C48" s="221">
        <v>8113209</v>
      </c>
      <c r="D48" s="59"/>
      <c r="E48" s="59"/>
      <c r="F48" s="59"/>
      <c r="G48" s="59"/>
      <c r="H48" s="59"/>
      <c r="I48" s="59"/>
      <c r="J48" s="59"/>
      <c r="K48" s="59">
        <v>300</v>
      </c>
      <c r="L48" s="33"/>
      <c r="M48" s="34">
        <v>267.56</v>
      </c>
      <c r="N48" s="59">
        <v>61775</v>
      </c>
      <c r="O48" s="35">
        <v>61775</v>
      </c>
      <c r="P48" s="35"/>
      <c r="Q48" s="35"/>
      <c r="R48" s="35"/>
      <c r="S48" s="60"/>
      <c r="T48" s="35"/>
      <c r="U48" s="61"/>
      <c r="V48" s="62"/>
      <c r="W48" s="32">
        <f t="shared" si="8"/>
        <v>61775</v>
      </c>
      <c r="X48" s="210">
        <v>19742.460999999999</v>
      </c>
      <c r="Y48" s="210"/>
      <c r="Z48" s="209">
        <f t="shared" si="4"/>
        <v>19742.460999999999</v>
      </c>
      <c r="AA48" s="63">
        <f t="shared" si="15"/>
        <v>0.31958658033184945</v>
      </c>
      <c r="AB48" s="63">
        <f t="shared" si="16"/>
        <v>0.31958658033184945</v>
      </c>
      <c r="AC48" s="114">
        <v>14784</v>
      </c>
      <c r="AD48" s="177">
        <f t="shared" si="1"/>
        <v>14784</v>
      </c>
      <c r="AE48" s="33">
        <f t="shared" si="6"/>
        <v>42032.539000000004</v>
      </c>
      <c r="AF48" s="64"/>
      <c r="AG48" s="64"/>
      <c r="AH48" s="41">
        <f t="shared" si="2"/>
        <v>42032.539000000004</v>
      </c>
      <c r="AI48" s="65">
        <v>10000</v>
      </c>
      <c r="AJ48" s="125">
        <f t="shared" si="3"/>
        <v>32032.539000000004</v>
      </c>
      <c r="AK48" s="126">
        <f t="shared" si="7"/>
        <v>0.48146436260623227</v>
      </c>
      <c r="AL48" s="67"/>
      <c r="AM48" s="64">
        <f t="shared" si="17"/>
        <v>42032.539000000004</v>
      </c>
      <c r="AN48" s="167"/>
    </row>
    <row r="49" spans="1:43" ht="45" x14ac:dyDescent="0.25">
      <c r="A49" s="30">
        <v>34</v>
      </c>
      <c r="B49" s="31" t="s">
        <v>93</v>
      </c>
      <c r="C49" s="221">
        <v>8100888</v>
      </c>
      <c r="D49" s="59"/>
      <c r="E49" s="59"/>
      <c r="F49" s="59"/>
      <c r="G49" s="59"/>
      <c r="H49" s="59"/>
      <c r="I49" s="59"/>
      <c r="J49" s="59"/>
      <c r="K49" s="59">
        <v>1983</v>
      </c>
      <c r="L49" s="33"/>
      <c r="M49" s="34">
        <v>1530</v>
      </c>
      <c r="N49" s="59">
        <v>372925</v>
      </c>
      <c r="O49" s="35">
        <v>745850</v>
      </c>
      <c r="P49" s="35"/>
      <c r="Q49" s="35"/>
      <c r="R49" s="35"/>
      <c r="S49" s="60"/>
      <c r="T49" s="35"/>
      <c r="U49" s="61"/>
      <c r="V49" s="62"/>
      <c r="W49" s="32">
        <f t="shared" si="8"/>
        <v>745850</v>
      </c>
      <c r="X49" s="210">
        <v>497783.54</v>
      </c>
      <c r="Y49" s="210"/>
      <c r="Z49" s="209">
        <f t="shared" si="4"/>
        <v>497783.54</v>
      </c>
      <c r="AA49" s="63">
        <f>Z49/W49</f>
        <v>0.66740435744452631</v>
      </c>
      <c r="AB49" s="63">
        <f>Z49/N49</f>
        <v>1.3348087148890526</v>
      </c>
      <c r="AC49" s="114"/>
      <c r="AD49" s="177">
        <f t="shared" si="1"/>
        <v>0</v>
      </c>
      <c r="AE49" s="33">
        <f>W49-Z49</f>
        <v>248066.46000000002</v>
      </c>
      <c r="AF49" s="64"/>
      <c r="AG49" s="64"/>
      <c r="AH49" s="41">
        <f t="shared" si="2"/>
        <v>248066.46000000002</v>
      </c>
      <c r="AI49" s="65">
        <v>270000</v>
      </c>
      <c r="AJ49" s="125">
        <f t="shared" si="3"/>
        <v>-21933.539999999979</v>
      </c>
      <c r="AK49" s="126">
        <f t="shared" si="7"/>
        <v>1.0294074411744989</v>
      </c>
      <c r="AL49" s="67"/>
      <c r="AM49" s="64">
        <f t="shared" si="17"/>
        <v>248066.46000000002</v>
      </c>
      <c r="AN49" s="167" t="s">
        <v>152</v>
      </c>
      <c r="AP49" s="20">
        <v>167340</v>
      </c>
      <c r="AQ49" s="22">
        <v>167340</v>
      </c>
    </row>
    <row r="50" spans="1:43" ht="31.9" customHeight="1" x14ac:dyDescent="0.25">
      <c r="A50" s="51" t="s">
        <v>183</v>
      </c>
      <c r="B50" s="225" t="s">
        <v>178</v>
      </c>
      <c r="C50" s="215"/>
      <c r="D50" s="76"/>
      <c r="E50" s="76"/>
      <c r="F50" s="76"/>
      <c r="G50" s="76"/>
      <c r="H50" s="76"/>
      <c r="I50" s="76"/>
      <c r="J50" s="76"/>
      <c r="K50" s="76"/>
      <c r="L50" s="33"/>
      <c r="M50" s="34"/>
      <c r="N50" s="76"/>
      <c r="O50" s="136"/>
      <c r="P50" s="76"/>
      <c r="Q50" s="76"/>
      <c r="R50" s="76"/>
      <c r="S50" s="60"/>
      <c r="T50" s="76"/>
      <c r="U50" s="76"/>
      <c r="V50" s="76"/>
      <c r="W50" s="32">
        <f>SUM(O50:V50)</f>
        <v>0</v>
      </c>
      <c r="X50" s="210">
        <v>0</v>
      </c>
      <c r="Y50" s="210"/>
      <c r="Z50" s="209">
        <f t="shared" si="4"/>
        <v>0</v>
      </c>
      <c r="AA50" s="63"/>
      <c r="AB50" s="63"/>
      <c r="AC50" s="114"/>
      <c r="AD50" s="114"/>
      <c r="AE50" s="33">
        <f t="shared" ref="AE50:AE54" si="18">W50-Z50</f>
        <v>0</v>
      </c>
      <c r="AF50" s="64"/>
      <c r="AG50" s="64"/>
      <c r="AH50" s="41">
        <f t="shared" si="2"/>
        <v>0</v>
      </c>
      <c r="AI50" s="65"/>
      <c r="AJ50" s="125">
        <f t="shared" si="3"/>
        <v>0</v>
      </c>
      <c r="AK50" s="126"/>
      <c r="AL50" s="67"/>
      <c r="AM50" s="67"/>
      <c r="AN50" s="172"/>
      <c r="AP50" s="21">
        <f>AP49-Z49</f>
        <v>-330443.53999999998</v>
      </c>
      <c r="AQ50" s="23">
        <f>AQ49-Z49</f>
        <v>-330443.53999999998</v>
      </c>
    </row>
    <row r="51" spans="1:43" ht="30" customHeight="1" x14ac:dyDescent="0.25">
      <c r="A51" s="30">
        <v>1</v>
      </c>
      <c r="B51" s="31" t="s">
        <v>156</v>
      </c>
      <c r="C51" s="223" t="s">
        <v>164</v>
      </c>
      <c r="D51" s="59"/>
      <c r="E51" s="59"/>
      <c r="F51" s="59"/>
      <c r="G51" s="59"/>
      <c r="H51" s="59"/>
      <c r="I51" s="59"/>
      <c r="J51" s="59">
        <v>5354</v>
      </c>
      <c r="K51" s="59">
        <v>19662</v>
      </c>
      <c r="L51" s="33"/>
      <c r="M51" s="34">
        <v>19661.934000000001</v>
      </c>
      <c r="N51" s="59"/>
      <c r="O51" s="35"/>
      <c r="P51" s="35">
        <v>100</v>
      </c>
      <c r="Q51" s="35"/>
      <c r="R51" s="35"/>
      <c r="S51" s="60"/>
      <c r="T51" s="35"/>
      <c r="U51" s="35"/>
      <c r="V51" s="35"/>
      <c r="W51" s="32">
        <f t="shared" si="8"/>
        <v>100</v>
      </c>
      <c r="X51" s="210">
        <v>100</v>
      </c>
      <c r="Y51" s="210"/>
      <c r="Z51" s="209">
        <f t="shared" si="4"/>
        <v>100</v>
      </c>
      <c r="AA51" s="186">
        <f>Z51/W51</f>
        <v>1</v>
      </c>
      <c r="AB51" s="63">
        <v>0</v>
      </c>
      <c r="AC51" s="114"/>
      <c r="AD51" s="186"/>
      <c r="AE51" s="33">
        <f t="shared" si="18"/>
        <v>0</v>
      </c>
      <c r="AF51" s="64"/>
      <c r="AG51" s="64"/>
      <c r="AH51" s="41">
        <f t="shared" si="2"/>
        <v>0</v>
      </c>
      <c r="AI51" s="65"/>
      <c r="AJ51" s="125">
        <f t="shared" si="3"/>
        <v>0</v>
      </c>
      <c r="AK51" s="126">
        <f t="shared" si="7"/>
        <v>1</v>
      </c>
      <c r="AL51" s="67"/>
      <c r="AM51" s="67"/>
      <c r="AN51" s="173"/>
      <c r="AQ51" s="24">
        <f>383-60</f>
        <v>323</v>
      </c>
    </row>
    <row r="52" spans="1:43" ht="36" customHeight="1" x14ac:dyDescent="0.25">
      <c r="A52" s="30">
        <v>2</v>
      </c>
      <c r="B52" s="31" t="s">
        <v>157</v>
      </c>
      <c r="C52" s="223" t="s">
        <v>165</v>
      </c>
      <c r="D52" s="59"/>
      <c r="E52" s="59">
        <v>7500</v>
      </c>
      <c r="F52" s="59">
        <v>2600</v>
      </c>
      <c r="G52" s="59"/>
      <c r="H52" s="59"/>
      <c r="I52" s="59"/>
      <c r="J52" s="59">
        <v>6090</v>
      </c>
      <c r="K52" s="59">
        <v>19816</v>
      </c>
      <c r="L52" s="33"/>
      <c r="M52" s="59"/>
      <c r="N52" s="59"/>
      <c r="O52" s="35"/>
      <c r="P52" s="35">
        <v>100</v>
      </c>
      <c r="Q52" s="35"/>
      <c r="R52" s="35"/>
      <c r="S52" s="60"/>
      <c r="T52" s="35"/>
      <c r="U52" s="61"/>
      <c r="V52" s="62"/>
      <c r="W52" s="32">
        <f t="shared" si="8"/>
        <v>100</v>
      </c>
      <c r="X52" s="210">
        <v>100</v>
      </c>
      <c r="Y52" s="210"/>
      <c r="Z52" s="209">
        <f t="shared" si="4"/>
        <v>100</v>
      </c>
      <c r="AA52" s="186">
        <f t="shared" ref="AA52:AA54" si="19">Z52/W52</f>
        <v>1</v>
      </c>
      <c r="AB52" s="63">
        <v>0</v>
      </c>
      <c r="AC52" s="114"/>
      <c r="AD52" s="186"/>
      <c r="AE52" s="33">
        <f t="shared" si="18"/>
        <v>0</v>
      </c>
      <c r="AF52" s="64"/>
      <c r="AG52" s="64"/>
      <c r="AH52" s="41">
        <f t="shared" si="2"/>
        <v>0</v>
      </c>
      <c r="AI52" s="65"/>
      <c r="AJ52" s="125">
        <f t="shared" si="3"/>
        <v>0</v>
      </c>
      <c r="AK52" s="126">
        <f t="shared" si="7"/>
        <v>1</v>
      </c>
      <c r="AL52" s="67"/>
      <c r="AM52" s="67"/>
      <c r="AN52" s="173"/>
    </row>
    <row r="53" spans="1:43" ht="48" customHeight="1" x14ac:dyDescent="0.25">
      <c r="A53" s="30">
        <v>3</v>
      </c>
      <c r="B53" s="31" t="s">
        <v>158</v>
      </c>
      <c r="C53" s="223" t="s">
        <v>166</v>
      </c>
      <c r="D53" s="59"/>
      <c r="E53" s="59">
        <v>6200</v>
      </c>
      <c r="F53" s="59">
        <v>4220</v>
      </c>
      <c r="G53" s="59"/>
      <c r="H53" s="59">
        <v>3960</v>
      </c>
      <c r="I53" s="59"/>
      <c r="J53" s="59"/>
      <c r="K53" s="59">
        <v>5251</v>
      </c>
      <c r="L53" s="33"/>
      <c r="M53" s="59"/>
      <c r="N53" s="59"/>
      <c r="O53" s="35"/>
      <c r="P53" s="35">
        <v>100</v>
      </c>
      <c r="Q53" s="35"/>
      <c r="R53" s="35"/>
      <c r="S53" s="60"/>
      <c r="T53" s="35"/>
      <c r="U53" s="61"/>
      <c r="V53" s="61"/>
      <c r="W53" s="32">
        <f t="shared" si="8"/>
        <v>100</v>
      </c>
      <c r="X53" s="210">
        <v>100</v>
      </c>
      <c r="Y53" s="210"/>
      <c r="Z53" s="209">
        <f t="shared" si="4"/>
        <v>100</v>
      </c>
      <c r="AA53" s="186">
        <f t="shared" si="19"/>
        <v>1</v>
      </c>
      <c r="AB53" s="63">
        <v>0</v>
      </c>
      <c r="AC53" s="114"/>
      <c r="AD53" s="186"/>
      <c r="AE53" s="33">
        <f t="shared" si="18"/>
        <v>0</v>
      </c>
      <c r="AF53" s="64"/>
      <c r="AG53" s="64"/>
      <c r="AH53" s="41">
        <f t="shared" si="2"/>
        <v>0</v>
      </c>
      <c r="AI53" s="65"/>
      <c r="AJ53" s="125">
        <f t="shared" si="3"/>
        <v>0</v>
      </c>
      <c r="AK53" s="126">
        <f t="shared" si="7"/>
        <v>1</v>
      </c>
      <c r="AL53" s="64"/>
      <c r="AM53" s="64"/>
      <c r="AN53" s="173"/>
    </row>
    <row r="54" spans="1:43" ht="60.6" customHeight="1" x14ac:dyDescent="0.25">
      <c r="A54" s="30">
        <v>4</v>
      </c>
      <c r="B54" s="31" t="s">
        <v>159</v>
      </c>
      <c r="C54" s="223" t="s">
        <v>167</v>
      </c>
      <c r="D54" s="59"/>
      <c r="E54" s="59"/>
      <c r="F54" s="59"/>
      <c r="G54" s="59"/>
      <c r="H54" s="59">
        <v>103</v>
      </c>
      <c r="I54" s="59"/>
      <c r="J54" s="59">
        <v>1500</v>
      </c>
      <c r="K54" s="59"/>
      <c r="L54" s="33"/>
      <c r="M54" s="59"/>
      <c r="N54" s="59"/>
      <c r="O54" s="35"/>
      <c r="P54" s="35">
        <v>100</v>
      </c>
      <c r="Q54" s="35"/>
      <c r="R54" s="35"/>
      <c r="S54" s="60"/>
      <c r="T54" s="35"/>
      <c r="U54" s="35"/>
      <c r="V54" s="35"/>
      <c r="W54" s="32">
        <f t="shared" si="8"/>
        <v>100</v>
      </c>
      <c r="X54" s="210">
        <v>100</v>
      </c>
      <c r="Y54" s="210"/>
      <c r="Z54" s="209">
        <f t="shared" si="4"/>
        <v>100</v>
      </c>
      <c r="AA54" s="186">
        <f t="shared" si="19"/>
        <v>1</v>
      </c>
      <c r="AB54" s="63">
        <v>0</v>
      </c>
      <c r="AC54" s="114"/>
      <c r="AD54" s="186"/>
      <c r="AE54" s="33">
        <f t="shared" si="18"/>
        <v>0</v>
      </c>
      <c r="AF54" s="64"/>
      <c r="AG54" s="64"/>
      <c r="AH54" s="41">
        <f t="shared" si="2"/>
        <v>0</v>
      </c>
      <c r="AI54" s="65"/>
      <c r="AJ54" s="125">
        <f t="shared" si="3"/>
        <v>0</v>
      </c>
      <c r="AK54" s="126">
        <f t="shared" si="7"/>
        <v>1</v>
      </c>
      <c r="AL54" s="67"/>
      <c r="AM54" s="67"/>
      <c r="AN54" s="173"/>
    </row>
    <row r="55" spans="1:43" ht="61.15" customHeight="1" x14ac:dyDescent="0.25">
      <c r="A55" s="30">
        <v>5</v>
      </c>
      <c r="B55" s="31" t="s">
        <v>160</v>
      </c>
      <c r="C55" s="223" t="s">
        <v>168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80"/>
      <c r="P55" s="35">
        <v>100</v>
      </c>
      <c r="Q55" s="179"/>
      <c r="R55" s="179"/>
      <c r="S55" s="179"/>
      <c r="T55" s="179"/>
      <c r="U55" s="179"/>
      <c r="V55" s="179"/>
      <c r="W55" s="32">
        <f t="shared" si="8"/>
        <v>100</v>
      </c>
      <c r="X55" s="210">
        <v>100</v>
      </c>
      <c r="Y55" s="211"/>
      <c r="Z55" s="211">
        <f>SUM(X55:Y55)</f>
        <v>100</v>
      </c>
      <c r="AA55" s="187">
        <f>Z55/W55</f>
        <v>1</v>
      </c>
      <c r="AB55" s="63">
        <v>0</v>
      </c>
      <c r="AC55" s="179"/>
      <c r="AD55" s="186"/>
      <c r="AE55" s="33">
        <f>W55-Z55</f>
        <v>0</v>
      </c>
      <c r="AF55" s="179"/>
      <c r="AG55" s="179"/>
      <c r="AH55" s="179"/>
      <c r="AI55" s="179"/>
      <c r="AJ55" s="179">
        <f t="shared" si="3"/>
        <v>0</v>
      </c>
      <c r="AK55" s="179">
        <f t="shared" si="7"/>
        <v>1</v>
      </c>
      <c r="AL55" s="179"/>
      <c r="AM55" s="179"/>
      <c r="AN55" s="173"/>
    </row>
    <row r="56" spans="1:43" ht="135.6" customHeight="1" x14ac:dyDescent="0.25">
      <c r="A56" s="190">
        <v>6</v>
      </c>
      <c r="B56" s="191" t="s">
        <v>161</v>
      </c>
      <c r="C56" s="192" t="s">
        <v>169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93"/>
      <c r="O56" s="194"/>
      <c r="P56" s="195">
        <v>100</v>
      </c>
      <c r="Q56" s="181"/>
      <c r="R56" s="181"/>
      <c r="S56" s="181"/>
      <c r="T56" s="181"/>
      <c r="U56" s="181"/>
      <c r="V56" s="181"/>
      <c r="W56" s="196">
        <f t="shared" si="8"/>
        <v>100</v>
      </c>
      <c r="X56" s="210">
        <v>100</v>
      </c>
      <c r="Y56" s="212"/>
      <c r="Z56" s="212">
        <f>SUM(X56:Y56)</f>
        <v>100</v>
      </c>
      <c r="AA56" s="197">
        <f>Z56/W56</f>
        <v>1</v>
      </c>
      <c r="AB56" s="198">
        <v>0</v>
      </c>
      <c r="AC56" s="193"/>
      <c r="AD56" s="197"/>
      <c r="AE56" s="199">
        <f>W56-Z56</f>
        <v>0</v>
      </c>
      <c r="AF56" s="179"/>
      <c r="AG56" s="179"/>
      <c r="AH56" s="179"/>
      <c r="AI56" s="179"/>
      <c r="AJ56" s="179"/>
      <c r="AK56" s="179"/>
      <c r="AL56" s="179"/>
      <c r="AM56" s="179"/>
      <c r="AN56" s="200"/>
    </row>
    <row r="57" spans="1:43" s="20" customFormat="1" ht="76.150000000000006" customHeight="1" x14ac:dyDescent="0.25">
      <c r="A57" s="30">
        <v>7</v>
      </c>
      <c r="B57" s="183" t="s">
        <v>162</v>
      </c>
      <c r="C57" s="223" t="s">
        <v>170</v>
      </c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5"/>
      <c r="P57" s="35">
        <v>100</v>
      </c>
      <c r="Q57" s="182"/>
      <c r="R57" s="182"/>
      <c r="S57" s="182"/>
      <c r="T57" s="182"/>
      <c r="U57" s="182"/>
      <c r="V57" s="182"/>
      <c r="W57" s="182">
        <f>SUM(O57:P57)</f>
        <v>100</v>
      </c>
      <c r="X57" s="210">
        <v>100</v>
      </c>
      <c r="Y57" s="211"/>
      <c r="Z57" s="211">
        <f>SUM(X57:Y57)</f>
        <v>100</v>
      </c>
      <c r="AA57" s="189">
        <f>Z57/W57</f>
        <v>1</v>
      </c>
      <c r="AB57" s="63">
        <v>0</v>
      </c>
      <c r="AC57" s="184"/>
      <c r="AD57" s="188"/>
      <c r="AE57" s="199">
        <f>W57-Z57</f>
        <v>0</v>
      </c>
      <c r="AF57" s="184"/>
      <c r="AG57" s="184"/>
      <c r="AH57" s="184"/>
      <c r="AI57" s="184"/>
      <c r="AJ57" s="184"/>
      <c r="AK57" s="184"/>
      <c r="AL57" s="184"/>
      <c r="AM57" s="184"/>
      <c r="AN57" s="173"/>
    </row>
    <row r="58" spans="1:43" ht="61.9" customHeight="1" x14ac:dyDescent="0.25">
      <c r="A58" s="30">
        <v>8</v>
      </c>
      <c r="B58" s="183" t="s">
        <v>163</v>
      </c>
      <c r="C58" s="223" t="s">
        <v>171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80"/>
      <c r="P58" s="35">
        <v>100</v>
      </c>
      <c r="Q58" s="181"/>
      <c r="R58" s="181"/>
      <c r="S58" s="181"/>
      <c r="T58" s="181"/>
      <c r="U58" s="181"/>
      <c r="V58" s="181"/>
      <c r="W58" s="182">
        <f>SUM(O58:P58)</f>
        <v>100</v>
      </c>
      <c r="X58" s="210">
        <v>100</v>
      </c>
      <c r="Y58" s="213"/>
      <c r="Z58" s="211">
        <f>SUM(X58:Y58)</f>
        <v>100</v>
      </c>
      <c r="AA58" s="189">
        <f>Z58/W58</f>
        <v>1</v>
      </c>
      <c r="AB58" s="63">
        <v>0</v>
      </c>
      <c r="AC58" s="179"/>
      <c r="AD58" s="188"/>
      <c r="AE58" s="202">
        <f>W58-Z58</f>
        <v>0</v>
      </c>
      <c r="AF58" s="179"/>
      <c r="AG58" s="179"/>
      <c r="AH58" s="179"/>
      <c r="AI58" s="179"/>
      <c r="AJ58" s="179"/>
      <c r="AK58" s="179"/>
      <c r="AL58" s="179"/>
      <c r="AM58" s="179"/>
      <c r="AN58" s="173"/>
    </row>
    <row r="59" spans="1:43" ht="14.25" customHeight="1" x14ac:dyDescent="0.25"/>
    <row r="60" spans="1:43" ht="14.25" customHeight="1" x14ac:dyDescent="0.25"/>
    <row r="61" spans="1:43" ht="14.25" customHeight="1" x14ac:dyDescent="0.25"/>
    <row r="62" spans="1:43" ht="14.25" customHeight="1" x14ac:dyDescent="0.25"/>
    <row r="63" spans="1:43" ht="14.25" customHeight="1" x14ac:dyDescent="0.25"/>
    <row r="64" spans="1:43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</sheetData>
  <autoFilter ref="A10:AQ54" xr:uid="{00000000-0009-0000-0000-000001000000}"/>
  <mergeCells count="37"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17" right="0.15748031496062992" top="0.41" bottom="0.23622047244094491" header="0" footer="0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984"/>
  <sheetViews>
    <sheetView view="pageBreakPreview" zoomScaleSheetLayoutView="100" workbookViewId="0">
      <pane ySplit="10" topLeftCell="A13" activePane="bottomLeft" state="frozen"/>
      <selection pane="bottomLeft" activeCell="AD13" sqref="AD13"/>
    </sheetView>
  </sheetViews>
  <sheetFormatPr defaultColWidth="14.42578125" defaultRowHeight="15" customHeight="1" x14ac:dyDescent="0.25"/>
  <cols>
    <col min="1" max="1" width="6.28515625" customWidth="1"/>
    <col min="2" max="2" width="31.5703125" style="252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9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40" t="s">
        <v>142</v>
      </c>
      <c r="B1" s="320"/>
      <c r="C1" s="321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2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23" t="s">
        <v>143</v>
      </c>
      <c r="B2" s="320"/>
      <c r="C2" s="321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2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20.25" customHeight="1" x14ac:dyDescent="0.3">
      <c r="A4" s="324" t="s">
        <v>144</v>
      </c>
      <c r="B4" s="320"/>
      <c r="C4" s="321"/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0"/>
      <c r="AC4" s="321"/>
      <c r="AD4" s="321"/>
      <c r="AE4" s="320"/>
      <c r="AF4" s="320"/>
      <c r="AG4" s="321"/>
      <c r="AH4" s="321"/>
      <c r="AI4" s="320"/>
      <c r="AJ4" s="321"/>
      <c r="AK4" s="321"/>
      <c r="AL4" s="320"/>
      <c r="AM4" s="321"/>
      <c r="AN4" s="322"/>
    </row>
    <row r="5" spans="1:43" ht="17.25" x14ac:dyDescent="0.3">
      <c r="A5" s="325" t="s">
        <v>176</v>
      </c>
      <c r="B5" s="320"/>
      <c r="C5" s="321"/>
      <c r="D5" s="320"/>
      <c r="E5" s="320"/>
      <c r="F5" s="320"/>
      <c r="G5" s="320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0"/>
      <c r="AC5" s="321"/>
      <c r="AD5" s="321"/>
      <c r="AE5" s="320"/>
      <c r="AF5" s="320"/>
      <c r="AG5" s="321"/>
      <c r="AH5" s="321"/>
      <c r="AI5" s="320"/>
      <c r="AJ5" s="321"/>
      <c r="AK5" s="321"/>
      <c r="AL5" s="320"/>
      <c r="AM5" s="321"/>
      <c r="AN5" s="322"/>
    </row>
    <row r="6" spans="1:43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44" t="s">
        <v>151</v>
      </c>
      <c r="AF6" s="345"/>
      <c r="AG6" s="345"/>
      <c r="AH6" s="345"/>
      <c r="AI6" s="345"/>
      <c r="AJ6" s="345"/>
      <c r="AK6" s="345"/>
      <c r="AL6" s="345"/>
      <c r="AM6" s="345"/>
      <c r="AN6" s="345"/>
    </row>
    <row r="7" spans="1:43" ht="14.25" customHeight="1" x14ac:dyDescent="0.25">
      <c r="A7" s="305" t="s">
        <v>1</v>
      </c>
      <c r="B7" s="346" t="s">
        <v>2</v>
      </c>
      <c r="C7" s="308" t="s">
        <v>109</v>
      </c>
      <c r="D7" s="305" t="s">
        <v>3</v>
      </c>
      <c r="E7" s="305" t="s">
        <v>4</v>
      </c>
      <c r="F7" s="305" t="s">
        <v>5</v>
      </c>
      <c r="G7" s="305" t="s">
        <v>6</v>
      </c>
      <c r="H7" s="305" t="s">
        <v>7</v>
      </c>
      <c r="I7" s="305" t="s">
        <v>8</v>
      </c>
      <c r="J7" s="305" t="s">
        <v>9</v>
      </c>
      <c r="K7" s="305" t="s">
        <v>10</v>
      </c>
      <c r="L7" s="326" t="s">
        <v>11</v>
      </c>
      <c r="M7" s="305" t="s">
        <v>12</v>
      </c>
      <c r="N7" s="305" t="s">
        <v>140</v>
      </c>
      <c r="O7" s="328" t="s">
        <v>138</v>
      </c>
      <c r="P7" s="329"/>
      <c r="Q7" s="329"/>
      <c r="R7" s="329"/>
      <c r="S7" s="329"/>
      <c r="T7" s="329"/>
      <c r="U7" s="329"/>
      <c r="V7" s="330"/>
      <c r="W7" s="305" t="s">
        <v>139</v>
      </c>
      <c r="X7" s="309" t="s">
        <v>13</v>
      </c>
      <c r="Y7" s="309" t="s">
        <v>184</v>
      </c>
      <c r="Z7" s="310" t="s">
        <v>175</v>
      </c>
      <c r="AA7" s="305" t="s">
        <v>15</v>
      </c>
      <c r="AB7" s="305" t="s">
        <v>16</v>
      </c>
      <c r="AC7" s="328" t="s">
        <v>155</v>
      </c>
      <c r="AD7" s="330"/>
      <c r="AE7" s="311" t="s">
        <v>17</v>
      </c>
      <c r="AF7" s="337" t="s">
        <v>107</v>
      </c>
      <c r="AG7" s="337" t="s">
        <v>108</v>
      </c>
      <c r="AH7" s="337" t="s">
        <v>106</v>
      </c>
      <c r="AI7" s="339" t="s">
        <v>147</v>
      </c>
      <c r="AJ7" s="311" t="s">
        <v>136</v>
      </c>
      <c r="AK7" s="311" t="s">
        <v>137</v>
      </c>
      <c r="AL7" s="305" t="s">
        <v>135</v>
      </c>
      <c r="AM7" s="305" t="s">
        <v>146</v>
      </c>
      <c r="AN7" s="305" t="s">
        <v>18</v>
      </c>
    </row>
    <row r="8" spans="1:43" ht="14.25" customHeight="1" x14ac:dyDescent="0.25">
      <c r="A8" s="306"/>
      <c r="B8" s="347"/>
      <c r="C8" s="308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31"/>
      <c r="P8" s="332"/>
      <c r="Q8" s="332"/>
      <c r="R8" s="332"/>
      <c r="S8" s="332"/>
      <c r="T8" s="332"/>
      <c r="U8" s="332"/>
      <c r="V8" s="333"/>
      <c r="W8" s="306"/>
      <c r="X8" s="306"/>
      <c r="Y8" s="306"/>
      <c r="Z8" s="306"/>
      <c r="AA8" s="306"/>
      <c r="AB8" s="306"/>
      <c r="AC8" s="334"/>
      <c r="AD8" s="336"/>
      <c r="AE8" s="306"/>
      <c r="AF8" s="338"/>
      <c r="AG8" s="338"/>
      <c r="AH8" s="339"/>
      <c r="AI8" s="338"/>
      <c r="AJ8" s="306"/>
      <c r="AK8" s="311"/>
      <c r="AL8" s="306"/>
      <c r="AM8" s="305"/>
      <c r="AN8" s="327"/>
    </row>
    <row r="9" spans="1:43" ht="92.25" customHeight="1" x14ac:dyDescent="0.25">
      <c r="A9" s="306"/>
      <c r="B9" s="347"/>
      <c r="C9" s="308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06"/>
      <c r="O9" s="334"/>
      <c r="P9" s="335"/>
      <c r="Q9" s="335"/>
      <c r="R9" s="335"/>
      <c r="S9" s="335"/>
      <c r="T9" s="335"/>
      <c r="U9" s="335"/>
      <c r="V9" s="336"/>
      <c r="W9" s="306"/>
      <c r="X9" s="306"/>
      <c r="Y9" s="306"/>
      <c r="Z9" s="306"/>
      <c r="AA9" s="306"/>
      <c r="AB9" s="306"/>
      <c r="AC9" s="201" t="s">
        <v>153</v>
      </c>
      <c r="AD9" s="178" t="s">
        <v>154</v>
      </c>
      <c r="AE9" s="306"/>
      <c r="AF9" s="338"/>
      <c r="AG9" s="338"/>
      <c r="AH9" s="339"/>
      <c r="AI9" s="338"/>
      <c r="AJ9" s="306"/>
      <c r="AK9" s="311"/>
      <c r="AL9" s="306"/>
      <c r="AM9" s="305"/>
      <c r="AN9" s="327"/>
      <c r="AO9">
        <f>Z11/W11</f>
        <v>0.50320398224028773</v>
      </c>
      <c r="AQ9">
        <v>27</v>
      </c>
    </row>
    <row r="10" spans="1:43" ht="22.9" customHeight="1" x14ac:dyDescent="0.25">
      <c r="A10" s="28">
        <v>1</v>
      </c>
      <c r="B10" s="246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43" t="s">
        <v>201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247" t="s">
        <v>19</v>
      </c>
      <c r="C11" s="104"/>
      <c r="D11" s="98">
        <f t="shared" ref="D11:L11" si="0">SUM(D12:D66)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SUBTOTAL(9,M12:M66)</f>
        <v>997557.30800000019</v>
      </c>
      <c r="N11" s="98">
        <f t="shared" ref="N11:Z11" si="1">SUBTOTAL(9,N12:N73)</f>
        <v>742875</v>
      </c>
      <c r="O11" s="98">
        <f t="shared" si="1"/>
        <v>1230191</v>
      </c>
      <c r="P11" s="98">
        <f t="shared" si="1"/>
        <v>800</v>
      </c>
      <c r="Q11" s="98">
        <f t="shared" si="1"/>
        <v>-4562</v>
      </c>
      <c r="R11" s="98">
        <f t="shared" si="1"/>
        <v>7629</v>
      </c>
      <c r="S11" s="98">
        <f t="shared" si="1"/>
        <v>-29</v>
      </c>
      <c r="T11" s="98">
        <f t="shared" si="1"/>
        <v>0</v>
      </c>
      <c r="U11" s="98">
        <f t="shared" si="1"/>
        <v>0</v>
      </c>
      <c r="V11" s="98">
        <f t="shared" si="1"/>
        <v>0</v>
      </c>
      <c r="W11" s="98">
        <f t="shared" si="1"/>
        <v>1234029</v>
      </c>
      <c r="X11" s="98">
        <f t="shared" si="1"/>
        <v>606658.30700000003</v>
      </c>
      <c r="Y11" s="98">
        <f t="shared" si="1"/>
        <v>14310</v>
      </c>
      <c r="Z11" s="98">
        <f t="shared" si="1"/>
        <v>620968.30700000003</v>
      </c>
      <c r="AA11" s="101">
        <f>Z11/W11</f>
        <v>0.50320398224028773</v>
      </c>
      <c r="AB11" s="101">
        <f>Z11/N11</f>
        <v>0.83589878108699311</v>
      </c>
      <c r="AC11" s="115">
        <f>SUM(AC13:AC73)</f>
        <v>69062.67</v>
      </c>
      <c r="AD11" s="115">
        <f>SUM(AD13:AD73)</f>
        <v>54752.67</v>
      </c>
      <c r="AE11" s="98">
        <f>W11-Z11</f>
        <v>613060.69299999997</v>
      </c>
      <c r="AF11" s="98">
        <f>X11-AA11</f>
        <v>606657.80379601778</v>
      </c>
      <c r="AG11" s="98">
        <f>Y11-AB11</f>
        <v>14309.164101218914</v>
      </c>
      <c r="AH11" s="98">
        <f>Z11-AC11</f>
        <v>551905.63699999999</v>
      </c>
      <c r="AI11" s="159">
        <f>SUM(AI12:AI66)</f>
        <v>324760</v>
      </c>
      <c r="AJ11" s="125">
        <f>W11-Z11-AI11</f>
        <v>288300.69299999997</v>
      </c>
      <c r="AK11" s="126">
        <f>(Z11+AI11)/W11</f>
        <v>0.76637445878500432</v>
      </c>
      <c r="AL11" s="101"/>
      <c r="AM11" s="115">
        <f>SUM(AM12:AM66)</f>
        <v>605226.69299999997</v>
      </c>
      <c r="AN11" s="175" t="s">
        <v>141</v>
      </c>
      <c r="AO11" s="117">
        <f>W11-Z11</f>
        <v>613060.69299999997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61" si="2">AC12-Y12</f>
        <v>0</v>
      </c>
      <c r="AE12" s="33"/>
      <c r="AF12" s="57"/>
      <c r="AG12" s="57"/>
      <c r="AH12" s="41">
        <f t="shared" ref="AH12:AH66" si="3">AE12-AF12</f>
        <v>0</v>
      </c>
      <c r="AI12" s="58"/>
      <c r="AJ12" s="125">
        <f t="shared" ref="AJ12:AJ67" si="4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66" si="5">SUM(X13:Y13)</f>
        <v>0</v>
      </c>
      <c r="AA13" s="154">
        <f>Z13/W13</f>
        <v>0</v>
      </c>
      <c r="AB13" s="63">
        <f t="shared" ref="AB13" si="6">Z13/N13</f>
        <v>0</v>
      </c>
      <c r="AC13" s="114">
        <v>2200</v>
      </c>
      <c r="AD13" s="177">
        <f>AC13-Y13</f>
        <v>2200</v>
      </c>
      <c r="AE13" s="33">
        <f t="shared" ref="AE13:AE60" si="7">W13-Z13</f>
        <v>60050</v>
      </c>
      <c r="AF13" s="64"/>
      <c r="AG13" s="64"/>
      <c r="AH13" s="41">
        <f t="shared" si="3"/>
        <v>60050</v>
      </c>
      <c r="AI13" s="65"/>
      <c r="AJ13" s="125">
        <f t="shared" si="4"/>
        <v>60050</v>
      </c>
      <c r="AK13" s="126">
        <f t="shared" ref="AK13:AK67" si="8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0.50320398224028773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5"/>
        <v>0</v>
      </c>
      <c r="AA14" s="154">
        <f>Z14/W14</f>
        <v>0</v>
      </c>
      <c r="AB14" s="63">
        <f>0%</f>
        <v>0</v>
      </c>
      <c r="AC14" s="114"/>
      <c r="AD14" s="177">
        <f t="shared" si="2"/>
        <v>0</v>
      </c>
      <c r="AE14" s="33">
        <f t="shared" si="7"/>
        <v>39020</v>
      </c>
      <c r="AF14" s="64"/>
      <c r="AG14" s="64"/>
      <c r="AH14" s="41">
        <f t="shared" si="3"/>
        <v>39020</v>
      </c>
      <c r="AI14" s="67"/>
      <c r="AJ14" s="125">
        <f t="shared" si="4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61" si="9">SUM(O15:V15)</f>
        <v>0</v>
      </c>
      <c r="X15" s="210">
        <v>0</v>
      </c>
      <c r="Y15" s="210"/>
      <c r="Z15" s="209">
        <f t="shared" si="5"/>
        <v>0</v>
      </c>
      <c r="AA15" s="154"/>
      <c r="AB15" s="63"/>
      <c r="AC15" s="114"/>
      <c r="AD15" s="177">
        <f t="shared" si="2"/>
        <v>0</v>
      </c>
      <c r="AE15" s="33">
        <f t="shared" si="7"/>
        <v>0</v>
      </c>
      <c r="AF15" s="64"/>
      <c r="AG15" s="64"/>
      <c r="AH15" s="41">
        <f t="shared" si="3"/>
        <v>0</v>
      </c>
      <c r="AI15" s="67"/>
      <c r="AJ15" s="125">
        <f t="shared" si="4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35">
        <v>-1000</v>
      </c>
      <c r="T16" s="35"/>
      <c r="U16" s="35"/>
      <c r="V16" s="35"/>
      <c r="W16" s="32">
        <f>SUM(O16:V16)</f>
        <v>0</v>
      </c>
      <c r="X16" s="210">
        <v>0</v>
      </c>
      <c r="Y16" s="210"/>
      <c r="Z16" s="209">
        <f t="shared" si="5"/>
        <v>0</v>
      </c>
      <c r="AA16" s="63">
        <f>0</f>
        <v>0</v>
      </c>
      <c r="AB16" s="63">
        <f t="shared" ref="AB16" si="10">Z16/N16</f>
        <v>0</v>
      </c>
      <c r="AC16" s="114">
        <v>1000</v>
      </c>
      <c r="AD16" s="177">
        <f t="shared" si="2"/>
        <v>1000</v>
      </c>
      <c r="AE16" s="33">
        <f t="shared" si="7"/>
        <v>0</v>
      </c>
      <c r="AF16" s="64"/>
      <c r="AG16" s="64"/>
      <c r="AH16" s="41">
        <f t="shared" si="3"/>
        <v>0</v>
      </c>
      <c r="AI16" s="67"/>
      <c r="AJ16" s="125">
        <f t="shared" si="4"/>
        <v>0</v>
      </c>
      <c r="AK16" s="126" t="e">
        <f t="shared" si="8"/>
        <v>#DIV/0!</v>
      </c>
      <c r="AL16" s="67"/>
      <c r="AM16" s="64">
        <f t="shared" ref="AM16" si="11">W16-Z16</f>
        <v>0</v>
      </c>
      <c r="AN16" s="144" t="s">
        <v>39</v>
      </c>
    </row>
    <row r="17" spans="1:43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9"/>
        <v>0</v>
      </c>
      <c r="X17" s="210">
        <v>0</v>
      </c>
      <c r="Y17" s="210"/>
      <c r="Z17" s="209">
        <f t="shared" si="5"/>
        <v>0</v>
      </c>
      <c r="AA17" s="63"/>
      <c r="AB17" s="63"/>
      <c r="AC17" s="114"/>
      <c r="AD17" s="177">
        <f t="shared" si="2"/>
        <v>0</v>
      </c>
      <c r="AE17" s="33">
        <f t="shared" si="7"/>
        <v>0</v>
      </c>
      <c r="AF17" s="64"/>
      <c r="AG17" s="64"/>
      <c r="AH17" s="41">
        <f t="shared" si="3"/>
        <v>0</v>
      </c>
      <c r="AI17" s="67"/>
      <c r="AJ17" s="125">
        <f t="shared" si="4"/>
        <v>0</v>
      </c>
      <c r="AK17" s="126"/>
      <c r="AL17" s="67"/>
      <c r="AM17" s="64"/>
      <c r="AN17" s="165"/>
    </row>
    <row r="18" spans="1:43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35">
        <v>30</v>
      </c>
      <c r="T18" s="35"/>
      <c r="U18" s="61"/>
      <c r="V18" s="62"/>
      <c r="W18" s="32">
        <f t="shared" si="9"/>
        <v>50</v>
      </c>
      <c r="X18" s="210">
        <v>0</v>
      </c>
      <c r="Y18" s="210"/>
      <c r="Z18" s="209">
        <f t="shared" si="5"/>
        <v>0</v>
      </c>
      <c r="AA18" s="63">
        <f t="shared" ref="AA18:AA21" si="12">Z18/W18</f>
        <v>0</v>
      </c>
      <c r="AB18" s="63">
        <f t="shared" ref="AB18" si="13">Z18/N18</f>
        <v>0</v>
      </c>
      <c r="AC18" s="114">
        <v>20</v>
      </c>
      <c r="AD18" s="177">
        <f t="shared" si="2"/>
        <v>20</v>
      </c>
      <c r="AE18" s="33">
        <f t="shared" si="7"/>
        <v>50</v>
      </c>
      <c r="AF18" s="64"/>
      <c r="AG18" s="64"/>
      <c r="AH18" s="41">
        <f t="shared" si="3"/>
        <v>50</v>
      </c>
      <c r="AI18" s="65"/>
      <c r="AJ18" s="125">
        <f t="shared" si="4"/>
        <v>50</v>
      </c>
      <c r="AK18" s="126">
        <f t="shared" si="8"/>
        <v>0</v>
      </c>
      <c r="AL18" s="121"/>
      <c r="AM18" s="157">
        <f>W18-Z18</f>
        <v>50</v>
      </c>
      <c r="AN18" s="166"/>
    </row>
    <row r="19" spans="1:43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35">
        <v>-4967</v>
      </c>
      <c r="T19" s="35"/>
      <c r="U19" s="35"/>
      <c r="V19" s="69"/>
      <c r="W19" s="32">
        <f t="shared" si="9"/>
        <v>56276</v>
      </c>
      <c r="X19" s="210">
        <v>1532.3019999999999</v>
      </c>
      <c r="Y19" s="210"/>
      <c r="Z19" s="209">
        <f t="shared" si="5"/>
        <v>1532.3019999999999</v>
      </c>
      <c r="AA19" s="63">
        <f t="shared" si="12"/>
        <v>2.7228338901130144E-2</v>
      </c>
      <c r="AB19" s="63">
        <f>Z19/W19</f>
        <v>2.7228338901130144E-2</v>
      </c>
      <c r="AC19" s="114">
        <v>12249</v>
      </c>
      <c r="AD19" s="177">
        <f t="shared" si="2"/>
        <v>12249</v>
      </c>
      <c r="AE19" s="33">
        <f t="shared" si="7"/>
        <v>54743.697999999997</v>
      </c>
      <c r="AF19" s="64"/>
      <c r="AG19" s="64"/>
      <c r="AH19" s="41">
        <f t="shared" si="3"/>
        <v>54743.697999999997</v>
      </c>
      <c r="AI19" s="73" t="s">
        <v>148</v>
      </c>
      <c r="AJ19" s="125">
        <f t="shared" si="4"/>
        <v>51743.697999999997</v>
      </c>
      <c r="AK19" s="126">
        <f t="shared" si="8"/>
        <v>8.0537031771980946E-2</v>
      </c>
      <c r="AL19" s="74"/>
      <c r="AM19" s="157">
        <f t="shared" ref="AM19:AM21" si="14">W19-Z19</f>
        <v>54743.697999999997</v>
      </c>
      <c r="AN19" s="147" t="s">
        <v>61</v>
      </c>
    </row>
    <row r="20" spans="1:43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9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2"/>
        <v>0.71951269021739128</v>
      </c>
      <c r="AB20" s="63">
        <f t="shared" ref="AB20" si="15">Z20/N20</f>
        <v>0.71951269021739128</v>
      </c>
      <c r="AC20" s="114">
        <v>11544</v>
      </c>
      <c r="AD20" s="177">
        <f>AC20-Y20</f>
        <v>11544</v>
      </c>
      <c r="AE20" s="33">
        <f t="shared" si="7"/>
        <v>10321.933000000001</v>
      </c>
      <c r="AF20" s="64"/>
      <c r="AG20" s="64"/>
      <c r="AH20" s="41">
        <f t="shared" si="3"/>
        <v>10321.933000000001</v>
      </c>
      <c r="AI20" s="123">
        <v>20000</v>
      </c>
      <c r="AJ20" s="125">
        <f t="shared" si="4"/>
        <v>-9678.0669999999991</v>
      </c>
      <c r="AK20" s="126">
        <f t="shared" si="8"/>
        <v>1.2629909510869564</v>
      </c>
      <c r="AL20" s="77"/>
      <c r="AM20" s="157">
        <f t="shared" si="14"/>
        <v>10321.933000000001</v>
      </c>
      <c r="AN20" s="169"/>
      <c r="AP20" s="18">
        <f>Z20-24656</f>
        <v>1822.0669999999991</v>
      </c>
    </row>
    <row r="21" spans="1:43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9"/>
        <v>3288</v>
      </c>
      <c r="X21" s="210">
        <v>2292.66</v>
      </c>
      <c r="Y21" s="210"/>
      <c r="Z21" s="209">
        <f t="shared" si="5"/>
        <v>2292.66</v>
      </c>
      <c r="AA21" s="63">
        <f t="shared" si="12"/>
        <v>0.69728102189781016</v>
      </c>
      <c r="AB21" s="63">
        <f>Z21/N21</f>
        <v>2.8658249999999996</v>
      </c>
      <c r="AC21" s="114">
        <v>800</v>
      </c>
      <c r="AD21" s="177">
        <f t="shared" si="2"/>
        <v>800</v>
      </c>
      <c r="AE21" s="33">
        <f t="shared" si="7"/>
        <v>995.34000000000015</v>
      </c>
      <c r="AF21" s="64"/>
      <c r="AG21" s="64"/>
      <c r="AH21" s="41">
        <f t="shared" si="3"/>
        <v>995.34000000000015</v>
      </c>
      <c r="AI21" s="124">
        <v>450</v>
      </c>
      <c r="AJ21" s="125">
        <f t="shared" si="4"/>
        <v>545.34000000000015</v>
      </c>
      <c r="AK21" s="126">
        <f t="shared" si="8"/>
        <v>0.83414233576642327</v>
      </c>
      <c r="AL21" s="77"/>
      <c r="AM21" s="157">
        <f t="shared" si="14"/>
        <v>995.34000000000015</v>
      </c>
      <c r="AN21" s="167"/>
      <c r="AO21" s="18">
        <f>Z21-38334</f>
        <v>-36041.339999999997</v>
      </c>
      <c r="AQ21">
        <v>4</v>
      </c>
    </row>
    <row r="22" spans="1:43" ht="60" x14ac:dyDescent="0.25">
      <c r="A22" s="30">
        <v>8</v>
      </c>
      <c r="B22" s="31" t="s">
        <v>187</v>
      </c>
      <c r="C22" s="221" t="s">
        <v>126</v>
      </c>
      <c r="D22" s="59"/>
      <c r="E22" s="59"/>
      <c r="F22" s="59"/>
      <c r="G22" s="59"/>
      <c r="H22" s="59"/>
      <c r="I22" s="59"/>
      <c r="J22" s="59"/>
      <c r="K22" s="59"/>
      <c r="L22" s="33"/>
      <c r="M22" s="34"/>
      <c r="N22" s="59"/>
      <c r="O22" s="35"/>
      <c r="P22" s="35"/>
      <c r="Q22" s="35"/>
      <c r="R22" s="35">
        <v>6</v>
      </c>
      <c r="S22" s="60"/>
      <c r="T22" s="35"/>
      <c r="U22" s="61"/>
      <c r="V22" s="62"/>
      <c r="W22" s="32">
        <f t="shared" si="9"/>
        <v>6</v>
      </c>
      <c r="X22" s="210"/>
      <c r="Y22" s="210"/>
      <c r="Z22" s="209"/>
      <c r="AA22" s="63"/>
      <c r="AB22" s="63"/>
      <c r="AC22" s="114"/>
      <c r="AD22" s="177"/>
      <c r="AE22" s="33"/>
      <c r="AF22" s="64"/>
      <c r="AG22" s="64"/>
      <c r="AH22" s="41"/>
      <c r="AI22" s="124"/>
      <c r="AJ22" s="125"/>
      <c r="AK22" s="126"/>
      <c r="AL22" s="77"/>
      <c r="AM22" s="157"/>
      <c r="AN22" s="167"/>
      <c r="AO22" s="18"/>
    </row>
    <row r="23" spans="1:43" ht="60" x14ac:dyDescent="0.25">
      <c r="A23" s="30">
        <v>9</v>
      </c>
      <c r="B23" s="31" t="s">
        <v>188</v>
      </c>
      <c r="C23" s="221" t="s">
        <v>119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59"/>
      <c r="O23" s="35"/>
      <c r="P23" s="35"/>
      <c r="Q23" s="35"/>
      <c r="R23" s="35">
        <v>23</v>
      </c>
      <c r="S23" s="60"/>
      <c r="T23" s="35"/>
      <c r="U23" s="61"/>
      <c r="V23" s="62"/>
      <c r="W23" s="32">
        <f t="shared" si="9"/>
        <v>23</v>
      </c>
      <c r="X23" s="210"/>
      <c r="Y23" s="210"/>
      <c r="Z23" s="209"/>
      <c r="AA23" s="63"/>
      <c r="AB23" s="63"/>
      <c r="AC23" s="114"/>
      <c r="AD23" s="177"/>
      <c r="AE23" s="33"/>
      <c r="AF23" s="64"/>
      <c r="AG23" s="64"/>
      <c r="AH23" s="41"/>
      <c r="AI23" s="124"/>
      <c r="AJ23" s="125"/>
      <c r="AK23" s="126"/>
      <c r="AL23" s="77"/>
      <c r="AM23" s="157"/>
      <c r="AN23" s="167"/>
      <c r="AO23" s="18"/>
    </row>
    <row r="24" spans="1:43" ht="45" x14ac:dyDescent="0.25">
      <c r="A24" s="30">
        <v>10</v>
      </c>
      <c r="B24" s="31" t="s">
        <v>193</v>
      </c>
      <c r="C24" s="221" t="s">
        <v>118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59"/>
      <c r="O24" s="35"/>
      <c r="P24" s="35"/>
      <c r="Q24" s="35"/>
      <c r="R24" s="35"/>
      <c r="S24" s="35">
        <v>4</v>
      </c>
      <c r="T24" s="35"/>
      <c r="U24" s="61"/>
      <c r="V24" s="62"/>
      <c r="W24" s="32">
        <f t="shared" si="9"/>
        <v>4</v>
      </c>
      <c r="X24" s="210"/>
      <c r="Y24" s="210"/>
      <c r="Z24" s="209"/>
      <c r="AA24" s="63"/>
      <c r="AB24" s="63"/>
      <c r="AC24" s="114"/>
      <c r="AD24" s="177"/>
      <c r="AE24" s="33"/>
      <c r="AF24" s="64"/>
      <c r="AG24" s="64"/>
      <c r="AH24" s="41"/>
      <c r="AI24" s="124"/>
      <c r="AJ24" s="125"/>
      <c r="AK24" s="126"/>
      <c r="AL24" s="77"/>
      <c r="AM24" s="157"/>
      <c r="AN24" s="167"/>
      <c r="AO24" s="18"/>
    </row>
    <row r="25" spans="1:43" ht="45" x14ac:dyDescent="0.25">
      <c r="A25" s="30">
        <v>11</v>
      </c>
      <c r="B25" s="31" t="s">
        <v>46</v>
      </c>
      <c r="C25" s="221" t="s">
        <v>114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59"/>
      <c r="O25" s="35"/>
      <c r="P25" s="35"/>
      <c r="Q25" s="35"/>
      <c r="R25" s="35"/>
      <c r="S25" s="35">
        <v>6</v>
      </c>
      <c r="T25" s="35"/>
      <c r="U25" s="61"/>
      <c r="V25" s="62"/>
      <c r="W25" s="32">
        <f t="shared" si="9"/>
        <v>6</v>
      </c>
      <c r="X25" s="210"/>
      <c r="Y25" s="210"/>
      <c r="Z25" s="209"/>
      <c r="AA25" s="63"/>
      <c r="AB25" s="63"/>
      <c r="AC25" s="114"/>
      <c r="AD25" s="177"/>
      <c r="AE25" s="33"/>
      <c r="AF25" s="64"/>
      <c r="AG25" s="64"/>
      <c r="AH25" s="41"/>
      <c r="AI25" s="124"/>
      <c r="AJ25" s="125"/>
      <c r="AK25" s="126"/>
      <c r="AL25" s="77"/>
      <c r="AM25" s="157"/>
      <c r="AN25" s="167"/>
      <c r="AO25" s="18"/>
    </row>
    <row r="26" spans="1:43" ht="30" x14ac:dyDescent="0.25">
      <c r="A26" s="30">
        <v>12</v>
      </c>
      <c r="B26" s="31" t="s">
        <v>194</v>
      </c>
      <c r="C26" s="221" t="s">
        <v>115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59"/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9"/>
        <v>6</v>
      </c>
      <c r="X26" s="210"/>
      <c r="Y26" s="210"/>
      <c r="Z26" s="209"/>
      <c r="AA26" s="63"/>
      <c r="AB26" s="63"/>
      <c r="AC26" s="114"/>
      <c r="AD26" s="177"/>
      <c r="AE26" s="33"/>
      <c r="AF26" s="64"/>
      <c r="AG26" s="64"/>
      <c r="AH26" s="41"/>
      <c r="AI26" s="124"/>
      <c r="AJ26" s="125"/>
      <c r="AK26" s="126"/>
      <c r="AL26" s="77"/>
      <c r="AM26" s="157"/>
      <c r="AN26" s="167"/>
      <c r="AO26" s="18"/>
    </row>
    <row r="27" spans="1:43" ht="30" x14ac:dyDescent="0.25">
      <c r="A27" s="30">
        <v>13</v>
      </c>
      <c r="B27" s="31" t="s">
        <v>195</v>
      </c>
      <c r="C27" s="221" t="s">
        <v>116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59"/>
      <c r="O27" s="35"/>
      <c r="P27" s="35"/>
      <c r="Q27" s="35"/>
      <c r="R27" s="35"/>
      <c r="S27" s="35">
        <v>4</v>
      </c>
      <c r="T27" s="35"/>
      <c r="U27" s="61"/>
      <c r="V27" s="62"/>
      <c r="W27" s="32">
        <f t="shared" si="9"/>
        <v>4</v>
      </c>
      <c r="X27" s="210"/>
      <c r="Y27" s="210"/>
      <c r="Z27" s="209"/>
      <c r="AA27" s="63"/>
      <c r="AB27" s="63"/>
      <c r="AC27" s="114"/>
      <c r="AD27" s="177"/>
      <c r="AE27" s="33"/>
      <c r="AF27" s="64"/>
      <c r="AG27" s="64"/>
      <c r="AH27" s="41"/>
      <c r="AI27" s="124"/>
      <c r="AJ27" s="125"/>
      <c r="AK27" s="126"/>
      <c r="AL27" s="77"/>
      <c r="AM27" s="157"/>
      <c r="AN27" s="167"/>
      <c r="AO27" s="18"/>
    </row>
    <row r="28" spans="1:43" ht="31.5" x14ac:dyDescent="0.25">
      <c r="A28" s="30">
        <v>14</v>
      </c>
      <c r="B28" s="248" t="s">
        <v>196</v>
      </c>
      <c r="C28" s="221" t="s">
        <v>117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59"/>
      <c r="O28" s="35"/>
      <c r="P28" s="35"/>
      <c r="Q28" s="35"/>
      <c r="R28" s="35"/>
      <c r="S28" s="35">
        <v>43</v>
      </c>
      <c r="T28" s="35"/>
      <c r="U28" s="61"/>
      <c r="V28" s="62"/>
      <c r="W28" s="32">
        <f t="shared" si="9"/>
        <v>43</v>
      </c>
      <c r="X28" s="210"/>
      <c r="Y28" s="210"/>
      <c r="Z28" s="209"/>
      <c r="AA28" s="63"/>
      <c r="AB28" s="63"/>
      <c r="AC28" s="114"/>
      <c r="AD28" s="177"/>
      <c r="AE28" s="33"/>
      <c r="AF28" s="64"/>
      <c r="AG28" s="64"/>
      <c r="AH28" s="41"/>
      <c r="AI28" s="124"/>
      <c r="AJ28" s="125"/>
      <c r="AK28" s="126"/>
      <c r="AL28" s="77"/>
      <c r="AM28" s="157"/>
      <c r="AN28" s="167"/>
      <c r="AO28" s="18"/>
    </row>
    <row r="29" spans="1:43" ht="47.25" x14ac:dyDescent="0.25">
      <c r="A29" s="30">
        <v>15</v>
      </c>
      <c r="B29" s="248" t="s">
        <v>197</v>
      </c>
      <c r="C29" s="221" t="s">
        <v>120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59"/>
      <c r="O29" s="35"/>
      <c r="P29" s="35"/>
      <c r="Q29" s="35"/>
      <c r="R29" s="35"/>
      <c r="S29" s="35">
        <v>45</v>
      </c>
      <c r="T29" s="35"/>
      <c r="U29" s="61"/>
      <c r="V29" s="62"/>
      <c r="W29" s="32">
        <f t="shared" si="9"/>
        <v>45</v>
      </c>
      <c r="X29" s="210"/>
      <c r="Y29" s="210"/>
      <c r="Z29" s="209"/>
      <c r="AA29" s="63"/>
      <c r="AB29" s="63"/>
      <c r="AC29" s="114"/>
      <c r="AD29" s="177"/>
      <c r="AE29" s="33"/>
      <c r="AF29" s="64"/>
      <c r="AG29" s="64"/>
      <c r="AH29" s="41"/>
      <c r="AI29" s="124"/>
      <c r="AJ29" s="125"/>
      <c r="AK29" s="126"/>
      <c r="AL29" s="77"/>
      <c r="AM29" s="157"/>
      <c r="AN29" s="167"/>
      <c r="AO29" s="18"/>
    </row>
    <row r="30" spans="1:43" ht="47.25" x14ac:dyDescent="0.25">
      <c r="A30" s="30">
        <v>16</v>
      </c>
      <c r="B30" s="248" t="s">
        <v>198</v>
      </c>
      <c r="C30" s="221" t="s">
        <v>121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59"/>
      <c r="O30" s="35"/>
      <c r="P30" s="35"/>
      <c r="Q30" s="35"/>
      <c r="R30" s="35"/>
      <c r="S30" s="35">
        <v>74</v>
      </c>
      <c r="T30" s="35"/>
      <c r="U30" s="61"/>
      <c r="V30" s="62"/>
      <c r="W30" s="32">
        <f t="shared" si="9"/>
        <v>74</v>
      </c>
      <c r="X30" s="210"/>
      <c r="Y30" s="210"/>
      <c r="Z30" s="209"/>
      <c r="AA30" s="63"/>
      <c r="AB30" s="63"/>
      <c r="AC30" s="114"/>
      <c r="AD30" s="177"/>
      <c r="AE30" s="33"/>
      <c r="AF30" s="64"/>
      <c r="AG30" s="64"/>
      <c r="AH30" s="41"/>
      <c r="AI30" s="124"/>
      <c r="AJ30" s="125"/>
      <c r="AK30" s="126"/>
      <c r="AL30" s="77"/>
      <c r="AM30" s="157"/>
      <c r="AN30" s="167"/>
      <c r="AO30" s="18"/>
    </row>
    <row r="31" spans="1:43" ht="31.5" x14ac:dyDescent="0.25">
      <c r="A31" s="30">
        <v>17</v>
      </c>
      <c r="B31" s="248" t="s">
        <v>54</v>
      </c>
      <c r="C31" s="221" t="s">
        <v>200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59"/>
      <c r="O31" s="35"/>
      <c r="P31" s="35"/>
      <c r="Q31" s="35"/>
      <c r="R31" s="35"/>
      <c r="S31" s="35">
        <v>4</v>
      </c>
      <c r="T31" s="35"/>
      <c r="U31" s="61"/>
      <c r="V31" s="62"/>
      <c r="W31" s="32">
        <f t="shared" si="9"/>
        <v>4</v>
      </c>
      <c r="X31" s="210"/>
      <c r="Y31" s="210"/>
      <c r="Z31" s="209"/>
      <c r="AA31" s="63"/>
      <c r="AB31" s="63"/>
      <c r="AC31" s="114"/>
      <c r="AD31" s="177"/>
      <c r="AE31" s="33"/>
      <c r="AF31" s="64"/>
      <c r="AG31" s="64"/>
      <c r="AH31" s="41"/>
      <c r="AI31" s="124"/>
      <c r="AJ31" s="125"/>
      <c r="AK31" s="126"/>
      <c r="AL31" s="77"/>
      <c r="AM31" s="157"/>
      <c r="AN31" s="167"/>
      <c r="AO31" s="18"/>
    </row>
    <row r="32" spans="1:43" ht="31.5" x14ac:dyDescent="0.25">
      <c r="A32" s="30">
        <v>18</v>
      </c>
      <c r="B32" s="248" t="s">
        <v>199</v>
      </c>
      <c r="C32" s="221" t="s">
        <v>124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59"/>
      <c r="O32" s="35"/>
      <c r="P32" s="35"/>
      <c r="Q32" s="35"/>
      <c r="R32" s="35"/>
      <c r="S32" s="35">
        <v>9</v>
      </c>
      <c r="T32" s="35"/>
      <c r="U32" s="61"/>
      <c r="V32" s="62"/>
      <c r="W32" s="32">
        <f t="shared" si="9"/>
        <v>9</v>
      </c>
      <c r="X32" s="210"/>
      <c r="Y32" s="210"/>
      <c r="Z32" s="209"/>
      <c r="AA32" s="63"/>
      <c r="AB32" s="63"/>
      <c r="AC32" s="114"/>
      <c r="AD32" s="177"/>
      <c r="AE32" s="33"/>
      <c r="AF32" s="64"/>
      <c r="AG32" s="64"/>
      <c r="AH32" s="41"/>
      <c r="AI32" s="124"/>
      <c r="AJ32" s="125"/>
      <c r="AK32" s="126"/>
      <c r="AL32" s="77"/>
      <c r="AM32" s="157"/>
      <c r="AN32" s="167"/>
      <c r="AO32" s="18"/>
    </row>
    <row r="33" spans="1:44" ht="63" x14ac:dyDescent="0.25">
      <c r="A33" s="30">
        <v>19</v>
      </c>
      <c r="B33" s="248" t="s">
        <v>57</v>
      </c>
      <c r="C33" s="221" t="s">
        <v>125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59"/>
      <c r="O33" s="35"/>
      <c r="P33" s="35"/>
      <c r="Q33" s="35"/>
      <c r="R33" s="35"/>
      <c r="S33" s="35">
        <v>10</v>
      </c>
      <c r="T33" s="35"/>
      <c r="U33" s="61"/>
      <c r="V33" s="62"/>
      <c r="W33" s="32">
        <f t="shared" si="9"/>
        <v>10</v>
      </c>
      <c r="X33" s="210"/>
      <c r="Y33" s="210"/>
      <c r="Z33" s="209"/>
      <c r="AA33" s="63"/>
      <c r="AB33" s="63"/>
      <c r="AC33" s="114"/>
      <c r="AD33" s="177"/>
      <c r="AE33" s="33"/>
      <c r="AF33" s="64"/>
      <c r="AG33" s="64"/>
      <c r="AH33" s="41"/>
      <c r="AI33" s="124"/>
      <c r="AJ33" s="125"/>
      <c r="AK33" s="126"/>
      <c r="AL33" s="77"/>
      <c r="AM33" s="157"/>
      <c r="AN33" s="167"/>
      <c r="AO33" s="18"/>
    </row>
    <row r="34" spans="1:44" ht="24" customHeight="1" x14ac:dyDescent="0.25">
      <c r="A34" s="51" t="s">
        <v>182</v>
      </c>
      <c r="B34" s="52" t="s">
        <v>64</v>
      </c>
      <c r="C34" s="222"/>
      <c r="D34" s="76"/>
      <c r="E34" s="76"/>
      <c r="F34" s="76"/>
      <c r="G34" s="76"/>
      <c r="H34" s="76"/>
      <c r="I34" s="76"/>
      <c r="J34" s="76"/>
      <c r="K34" s="76"/>
      <c r="L34" s="33"/>
      <c r="M34" s="34">
        <v>0</v>
      </c>
      <c r="N34" s="136"/>
      <c r="O34" s="54"/>
      <c r="P34" s="35"/>
      <c r="Q34" s="35"/>
      <c r="R34" s="35"/>
      <c r="S34" s="60"/>
      <c r="T34" s="35"/>
      <c r="U34" s="35"/>
      <c r="V34" s="35"/>
      <c r="W34" s="32">
        <f t="shared" si="9"/>
        <v>0</v>
      </c>
      <c r="X34" s="210">
        <v>0</v>
      </c>
      <c r="Y34" s="210"/>
      <c r="Z34" s="209">
        <f t="shared" si="5"/>
        <v>0</v>
      </c>
      <c r="AA34" s="63"/>
      <c r="AB34" s="63"/>
      <c r="AC34" s="114"/>
      <c r="AD34" s="177">
        <f t="shared" si="2"/>
        <v>0</v>
      </c>
      <c r="AE34" s="33">
        <f t="shared" si="7"/>
        <v>0</v>
      </c>
      <c r="AF34" s="64"/>
      <c r="AG34" s="64"/>
      <c r="AH34" s="41">
        <f t="shared" si="3"/>
        <v>0</v>
      </c>
      <c r="AI34" s="67"/>
      <c r="AJ34" s="125">
        <f t="shared" si="4"/>
        <v>0</v>
      </c>
      <c r="AK34" s="126"/>
      <c r="AL34" s="67"/>
      <c r="AM34" s="64"/>
      <c r="AN34" s="170"/>
    </row>
    <row r="35" spans="1:44" ht="36" customHeight="1" x14ac:dyDescent="0.25">
      <c r="A35" s="30">
        <v>22</v>
      </c>
      <c r="B35" s="31" t="s">
        <v>177</v>
      </c>
      <c r="C35" s="221" t="s">
        <v>130</v>
      </c>
      <c r="D35" s="59"/>
      <c r="E35" s="59"/>
      <c r="F35" s="59"/>
      <c r="G35" s="59"/>
      <c r="H35" s="59"/>
      <c r="I35" s="59"/>
      <c r="J35" s="59">
        <v>50</v>
      </c>
      <c r="K35" s="59">
        <v>200</v>
      </c>
      <c r="L35" s="33"/>
      <c r="M35" s="34">
        <f>200</f>
        <v>200</v>
      </c>
      <c r="N35" s="59">
        <v>6090</v>
      </c>
      <c r="O35" s="35">
        <v>8285</v>
      </c>
      <c r="P35" s="35"/>
      <c r="Q35" s="35"/>
      <c r="R35" s="35"/>
      <c r="S35" s="35">
        <v>-1632</v>
      </c>
      <c r="T35" s="35"/>
      <c r="U35" s="61"/>
      <c r="V35" s="61"/>
      <c r="W35" s="32">
        <f t="shared" si="9"/>
        <v>6653</v>
      </c>
      <c r="X35" s="210">
        <v>5777.54</v>
      </c>
      <c r="Y35" s="210"/>
      <c r="Z35" s="209">
        <f t="shared" si="5"/>
        <v>5777.54</v>
      </c>
      <c r="AA35" s="63">
        <f>Z35/W35</f>
        <v>0.8684112430482489</v>
      </c>
      <c r="AB35" s="63">
        <f>Z35/N35</f>
        <v>0.94869293924466336</v>
      </c>
      <c r="AC35" s="114">
        <v>312.67000000000007</v>
      </c>
      <c r="AD35" s="177">
        <f t="shared" si="2"/>
        <v>312.67000000000007</v>
      </c>
      <c r="AE35" s="33">
        <f t="shared" si="7"/>
        <v>875.46</v>
      </c>
      <c r="AF35" s="64"/>
      <c r="AG35" s="64"/>
      <c r="AH35" s="41">
        <f t="shared" si="3"/>
        <v>875.46</v>
      </c>
      <c r="AI35" s="65">
        <v>110</v>
      </c>
      <c r="AJ35" s="125">
        <f t="shared" si="4"/>
        <v>765.46</v>
      </c>
      <c r="AK35" s="126">
        <f t="shared" si="8"/>
        <v>0.88494513753194048</v>
      </c>
      <c r="AL35" s="64"/>
      <c r="AM35" s="64">
        <f>W35-Z35</f>
        <v>875.46</v>
      </c>
      <c r="AN35" s="168"/>
    </row>
    <row r="36" spans="1:44" ht="39.6" customHeight="1" x14ac:dyDescent="0.25">
      <c r="A36" s="30">
        <v>23</v>
      </c>
      <c r="B36" s="31" t="s">
        <v>66</v>
      </c>
      <c r="C36" s="221">
        <v>8112965</v>
      </c>
      <c r="D36" s="59"/>
      <c r="E36" s="59"/>
      <c r="F36" s="59"/>
      <c r="G36" s="59"/>
      <c r="H36" s="59"/>
      <c r="I36" s="59"/>
      <c r="J36" s="59"/>
      <c r="K36" s="59">
        <v>200</v>
      </c>
      <c r="L36" s="33"/>
      <c r="M36" s="34">
        <v>170</v>
      </c>
      <c r="N36" s="59">
        <v>1208</v>
      </c>
      <c r="O36" s="35">
        <v>1208</v>
      </c>
      <c r="P36" s="35"/>
      <c r="Q36" s="35"/>
      <c r="R36" s="35"/>
      <c r="S36" s="60"/>
      <c r="T36" s="35"/>
      <c r="U36" s="61"/>
      <c r="V36" s="62"/>
      <c r="W36" s="32">
        <f t="shared" si="9"/>
        <v>1208</v>
      </c>
      <c r="X36" s="210">
        <v>936.10699999999997</v>
      </c>
      <c r="Y36" s="210"/>
      <c r="Z36" s="209">
        <f t="shared" si="5"/>
        <v>936.10699999999997</v>
      </c>
      <c r="AA36" s="63">
        <f t="shared" ref="AA36:AA60" si="16">Z36/W36</f>
        <v>0.7749230132450331</v>
      </c>
      <c r="AB36" s="63">
        <f t="shared" ref="AB36:AB60" si="17">Z36/N36</f>
        <v>0.7749230132450331</v>
      </c>
      <c r="AC36" s="114">
        <v>272</v>
      </c>
      <c r="AD36" s="177">
        <f t="shared" si="2"/>
        <v>272</v>
      </c>
      <c r="AE36" s="33">
        <f t="shared" si="7"/>
        <v>271.89300000000003</v>
      </c>
      <c r="AF36" s="64"/>
      <c r="AG36" s="64"/>
      <c r="AH36" s="41">
        <f t="shared" si="3"/>
        <v>271.89300000000003</v>
      </c>
      <c r="AI36" s="65"/>
      <c r="AJ36" s="125">
        <f t="shared" si="4"/>
        <v>271.89300000000003</v>
      </c>
      <c r="AK36" s="126">
        <f t="shared" si="8"/>
        <v>0.7749230132450331</v>
      </c>
      <c r="AL36" s="67"/>
      <c r="AM36" s="64">
        <f t="shared" ref="AM36:AM61" si="18">W36-Z36</f>
        <v>271.89300000000003</v>
      </c>
      <c r="AN36" s="169"/>
      <c r="AP36" s="19">
        <f>X36-261</f>
        <v>675.10699999999997</v>
      </c>
    </row>
    <row r="37" spans="1:44" ht="36.6" customHeight="1" x14ac:dyDescent="0.25">
      <c r="A37" s="30">
        <v>24</v>
      </c>
      <c r="B37" s="31" t="s">
        <v>67</v>
      </c>
      <c r="C37" s="221">
        <v>8100887</v>
      </c>
      <c r="D37" s="59"/>
      <c r="E37" s="59"/>
      <c r="F37" s="59"/>
      <c r="G37" s="59"/>
      <c r="H37" s="59"/>
      <c r="I37" s="59"/>
      <c r="J37" s="59"/>
      <c r="K37" s="59">
        <v>5221</v>
      </c>
      <c r="L37" s="33"/>
      <c r="M37" s="34">
        <v>1558.6</v>
      </c>
      <c r="N37" s="59">
        <v>5000</v>
      </c>
      <c r="O37" s="35">
        <v>5000</v>
      </c>
      <c r="P37" s="35"/>
      <c r="Q37" s="35"/>
      <c r="R37" s="35"/>
      <c r="S37" s="35">
        <v>11500</v>
      </c>
      <c r="T37" s="35"/>
      <c r="U37" s="61"/>
      <c r="V37" s="62"/>
      <c r="W37" s="32">
        <f t="shared" si="9"/>
        <v>16500</v>
      </c>
      <c r="X37" s="210">
        <v>5000</v>
      </c>
      <c r="Y37" s="210"/>
      <c r="Z37" s="209">
        <f t="shared" si="5"/>
        <v>5000</v>
      </c>
      <c r="AA37" s="39">
        <f>Z37/W37</f>
        <v>0.30303030303030304</v>
      </c>
      <c r="AB37" s="39">
        <f t="shared" si="17"/>
        <v>1</v>
      </c>
      <c r="AC37" s="114"/>
      <c r="AD37" s="177">
        <f t="shared" si="2"/>
        <v>0</v>
      </c>
      <c r="AE37" s="116">
        <f t="shared" si="7"/>
        <v>11500</v>
      </c>
      <c r="AF37" s="64"/>
      <c r="AG37" s="64"/>
      <c r="AH37" s="41">
        <f t="shared" si="3"/>
        <v>11500</v>
      </c>
      <c r="AI37" s="65">
        <v>1000</v>
      </c>
      <c r="AJ37" s="125">
        <f t="shared" si="4"/>
        <v>10500</v>
      </c>
      <c r="AK37" s="126">
        <f t="shared" si="8"/>
        <v>0.36363636363636365</v>
      </c>
      <c r="AL37" s="67"/>
      <c r="AM37" s="64">
        <f t="shared" si="18"/>
        <v>11500</v>
      </c>
      <c r="AN37" s="167"/>
      <c r="AO37" s="22"/>
      <c r="AP37" s="19"/>
    </row>
    <row r="38" spans="1:44" ht="51" customHeight="1" x14ac:dyDescent="0.25">
      <c r="A38" s="30">
        <v>25</v>
      </c>
      <c r="B38" s="31" t="s">
        <v>68</v>
      </c>
      <c r="C38" s="221">
        <v>8101114</v>
      </c>
      <c r="D38" s="59"/>
      <c r="E38" s="59"/>
      <c r="F38" s="59"/>
      <c r="G38" s="59"/>
      <c r="H38" s="59"/>
      <c r="I38" s="59"/>
      <c r="J38" s="59"/>
      <c r="K38" s="59">
        <v>1000</v>
      </c>
      <c r="L38" s="33"/>
      <c r="M38" s="34">
        <v>983.19999999999993</v>
      </c>
      <c r="N38" s="59">
        <v>44117</v>
      </c>
      <c r="O38" s="35">
        <v>44117</v>
      </c>
      <c r="P38" s="35"/>
      <c r="Q38" s="35"/>
      <c r="R38" s="35"/>
      <c r="S38" s="60"/>
      <c r="T38" s="35"/>
      <c r="U38" s="61"/>
      <c r="V38" s="62"/>
      <c r="W38" s="32">
        <f t="shared" si="9"/>
        <v>44117</v>
      </c>
      <c r="X38" s="210">
        <v>16690.63</v>
      </c>
      <c r="Y38" s="210"/>
      <c r="Z38" s="209">
        <f t="shared" si="5"/>
        <v>16690.63</v>
      </c>
      <c r="AA38" s="63">
        <f t="shared" si="16"/>
        <v>0.3783264954552667</v>
      </c>
      <c r="AB38" s="63">
        <f t="shared" si="17"/>
        <v>0.3783264954552667</v>
      </c>
      <c r="AC38" s="114">
        <v>1603</v>
      </c>
      <c r="AD38" s="177">
        <f t="shared" si="2"/>
        <v>1603</v>
      </c>
      <c r="AE38" s="33">
        <f t="shared" si="7"/>
        <v>27426.37</v>
      </c>
      <c r="AF38" s="64"/>
      <c r="AG38" s="64"/>
      <c r="AH38" s="41">
        <f t="shared" si="3"/>
        <v>27426.37</v>
      </c>
      <c r="AI38" s="65">
        <v>5000</v>
      </c>
      <c r="AJ38" s="125">
        <f t="shared" si="4"/>
        <v>22426.37</v>
      </c>
      <c r="AK38" s="126">
        <f t="shared" si="8"/>
        <v>0.49166149103520185</v>
      </c>
      <c r="AL38" s="122"/>
      <c r="AM38" s="64">
        <f t="shared" si="18"/>
        <v>27426.37</v>
      </c>
      <c r="AN38" s="166"/>
      <c r="AP38" s="19"/>
    </row>
    <row r="39" spans="1:44" ht="41.45" customHeight="1" x14ac:dyDescent="0.25">
      <c r="A39" s="30">
        <v>12</v>
      </c>
      <c r="B39" s="31" t="s">
        <v>69</v>
      </c>
      <c r="C39" s="221">
        <v>8100889</v>
      </c>
      <c r="D39" s="59"/>
      <c r="E39" s="59"/>
      <c r="F39" s="59"/>
      <c r="G39" s="59"/>
      <c r="H39" s="59"/>
      <c r="I39" s="59"/>
      <c r="J39" s="59"/>
      <c r="K39" s="59">
        <v>1100</v>
      </c>
      <c r="L39" s="33"/>
      <c r="M39" s="34">
        <v>1097.5700000000002</v>
      </c>
      <c r="N39" s="59">
        <v>48719</v>
      </c>
      <c r="O39" s="35">
        <v>50419</v>
      </c>
      <c r="P39" s="35"/>
      <c r="Q39" s="35"/>
      <c r="R39" s="35"/>
      <c r="S39" s="60"/>
      <c r="T39" s="35"/>
      <c r="U39" s="35"/>
      <c r="V39" s="69"/>
      <c r="W39" s="32">
        <f t="shared" si="9"/>
        <v>50419</v>
      </c>
      <c r="X39" s="210">
        <v>6541</v>
      </c>
      <c r="Y39" s="210">
        <v>8025</v>
      </c>
      <c r="Z39" s="209">
        <f t="shared" si="5"/>
        <v>14566</v>
      </c>
      <c r="AA39" s="63">
        <f t="shared" si="16"/>
        <v>0.28889902616077273</v>
      </c>
      <c r="AB39" s="63">
        <f t="shared" si="17"/>
        <v>0.29897986411872163</v>
      </c>
      <c r="AC39" s="114">
        <v>9058</v>
      </c>
      <c r="AD39" s="177">
        <f t="shared" si="2"/>
        <v>1033</v>
      </c>
      <c r="AE39" s="33">
        <f t="shared" si="7"/>
        <v>35853</v>
      </c>
      <c r="AF39" s="64"/>
      <c r="AG39" s="64"/>
      <c r="AH39" s="41">
        <f t="shared" si="3"/>
        <v>35853</v>
      </c>
      <c r="AI39" s="65">
        <v>3200</v>
      </c>
      <c r="AJ39" s="125">
        <f t="shared" si="4"/>
        <v>32653</v>
      </c>
      <c r="AK39" s="126">
        <f t="shared" si="8"/>
        <v>0.35236716317261352</v>
      </c>
      <c r="AL39" s="67"/>
      <c r="AM39" s="64">
        <f t="shared" si="18"/>
        <v>35853</v>
      </c>
      <c r="AN39" s="169"/>
    </row>
    <row r="40" spans="1:44" ht="46.15" customHeight="1" x14ac:dyDescent="0.25">
      <c r="A40" s="30">
        <v>13</v>
      </c>
      <c r="B40" s="31" t="s">
        <v>70</v>
      </c>
      <c r="C40" s="221">
        <v>8111370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931.3</v>
      </c>
      <c r="N40" s="59">
        <v>63000</v>
      </c>
      <c r="O40" s="35">
        <v>70000</v>
      </c>
      <c r="P40" s="35"/>
      <c r="Q40" s="35">
        <v>-4562</v>
      </c>
      <c r="R40" s="35"/>
      <c r="S40" s="35">
        <v>-5000</v>
      </c>
      <c r="T40" s="35"/>
      <c r="U40" s="35"/>
      <c r="V40" s="69"/>
      <c r="W40" s="32">
        <f t="shared" si="9"/>
        <v>60438</v>
      </c>
      <c r="X40" s="210">
        <v>23084</v>
      </c>
      <c r="Y40" s="210">
        <v>6285</v>
      </c>
      <c r="Z40" s="209">
        <f t="shared" si="5"/>
        <v>29369</v>
      </c>
      <c r="AA40" s="63">
        <f t="shared" si="16"/>
        <v>0.48593600052946823</v>
      </c>
      <c r="AB40" s="63">
        <f t="shared" si="17"/>
        <v>0.46617460317460319</v>
      </c>
      <c r="AC40" s="114">
        <v>14725</v>
      </c>
      <c r="AD40" s="177">
        <f>AC40-Y40</f>
        <v>8440</v>
      </c>
      <c r="AE40" s="33">
        <f t="shared" si="7"/>
        <v>31069</v>
      </c>
      <c r="AF40" s="64"/>
      <c r="AG40" s="64"/>
      <c r="AH40" s="41">
        <f t="shared" si="3"/>
        <v>31069</v>
      </c>
      <c r="AI40" s="65">
        <v>15000</v>
      </c>
      <c r="AJ40" s="125">
        <f t="shared" si="4"/>
        <v>16069</v>
      </c>
      <c r="AK40" s="126">
        <f t="shared" si="8"/>
        <v>0.73412422648002917</v>
      </c>
      <c r="AL40" s="64"/>
      <c r="AM40" s="64">
        <f t="shared" si="18"/>
        <v>31069</v>
      </c>
      <c r="AN40" s="169"/>
      <c r="AR40" s="18"/>
    </row>
    <row r="41" spans="1:44" ht="40.15" customHeight="1" x14ac:dyDescent="0.25">
      <c r="A41" s="30">
        <v>14</v>
      </c>
      <c r="B41" s="31" t="s">
        <v>71</v>
      </c>
      <c r="C41" s="221">
        <v>8111981</v>
      </c>
      <c r="D41" s="59"/>
      <c r="E41" s="59"/>
      <c r="F41" s="59"/>
      <c r="G41" s="59"/>
      <c r="H41" s="59"/>
      <c r="I41" s="59"/>
      <c r="J41" s="59"/>
      <c r="K41" s="59">
        <v>300</v>
      </c>
      <c r="L41" s="33"/>
      <c r="M41" s="34">
        <v>272</v>
      </c>
      <c r="N41" s="59">
        <v>20</v>
      </c>
      <c r="O41" s="35">
        <v>20</v>
      </c>
      <c r="P41" s="35"/>
      <c r="Q41" s="35"/>
      <c r="R41" s="35"/>
      <c r="S41" s="35">
        <v>400</v>
      </c>
      <c r="T41" s="35"/>
      <c r="U41" s="35"/>
      <c r="V41" s="69"/>
      <c r="W41" s="32">
        <f t="shared" si="9"/>
        <v>420</v>
      </c>
      <c r="X41" s="210">
        <v>0</v>
      </c>
      <c r="Y41" s="210"/>
      <c r="Z41" s="209">
        <f t="shared" si="5"/>
        <v>0</v>
      </c>
      <c r="AA41" s="63">
        <f t="shared" si="16"/>
        <v>0</v>
      </c>
      <c r="AB41" s="63">
        <f t="shared" si="17"/>
        <v>0</v>
      </c>
      <c r="AC41" s="114">
        <v>20</v>
      </c>
      <c r="AD41" s="177">
        <f t="shared" si="2"/>
        <v>20</v>
      </c>
      <c r="AE41" s="33">
        <f t="shared" si="7"/>
        <v>420</v>
      </c>
      <c r="AF41" s="64"/>
      <c r="AG41" s="64"/>
      <c r="AH41" s="41">
        <f t="shared" si="3"/>
        <v>420</v>
      </c>
      <c r="AI41" s="65"/>
      <c r="AJ41" s="125">
        <f t="shared" si="4"/>
        <v>420</v>
      </c>
      <c r="AK41" s="126">
        <f t="shared" si="8"/>
        <v>0</v>
      </c>
      <c r="AL41" s="128"/>
      <c r="AM41" s="64">
        <f t="shared" si="18"/>
        <v>420</v>
      </c>
      <c r="AN41" s="169"/>
      <c r="AO41" s="18">
        <f>AO40-Z40</f>
        <v>-29369</v>
      </c>
    </row>
    <row r="42" spans="1:44" ht="36.6" customHeight="1" x14ac:dyDescent="0.25">
      <c r="A42" s="30">
        <v>15</v>
      </c>
      <c r="B42" s="31" t="s">
        <v>72</v>
      </c>
      <c r="C42" s="221">
        <v>8112964</v>
      </c>
      <c r="D42" s="59"/>
      <c r="E42" s="59"/>
      <c r="F42" s="59"/>
      <c r="G42" s="59"/>
      <c r="H42" s="59"/>
      <c r="I42" s="59"/>
      <c r="J42" s="59"/>
      <c r="K42" s="59">
        <v>340</v>
      </c>
      <c r="L42" s="33"/>
      <c r="M42" s="34">
        <v>339.3</v>
      </c>
      <c r="N42" s="59">
        <v>125</v>
      </c>
      <c r="O42" s="35">
        <v>125</v>
      </c>
      <c r="P42" s="35"/>
      <c r="Q42" s="35"/>
      <c r="R42" s="35"/>
      <c r="S42" s="60"/>
      <c r="T42" s="35"/>
      <c r="U42" s="35"/>
      <c r="V42" s="69"/>
      <c r="W42" s="32">
        <f t="shared" si="9"/>
        <v>125</v>
      </c>
      <c r="X42" s="210">
        <v>0</v>
      </c>
      <c r="Y42" s="210"/>
      <c r="Z42" s="209">
        <f t="shared" si="5"/>
        <v>0</v>
      </c>
      <c r="AA42" s="63">
        <f t="shared" si="16"/>
        <v>0</v>
      </c>
      <c r="AB42" s="63">
        <f t="shared" si="17"/>
        <v>0</v>
      </c>
      <c r="AC42" s="114">
        <v>125</v>
      </c>
      <c r="AD42" s="177">
        <f t="shared" si="2"/>
        <v>125</v>
      </c>
      <c r="AE42" s="33">
        <f t="shared" si="7"/>
        <v>125</v>
      </c>
      <c r="AF42" s="64"/>
      <c r="AG42" s="64"/>
      <c r="AH42" s="41">
        <f t="shared" si="3"/>
        <v>125</v>
      </c>
      <c r="AI42" s="65"/>
      <c r="AJ42" s="125">
        <f t="shared" si="4"/>
        <v>125</v>
      </c>
      <c r="AK42" s="126">
        <f t="shared" si="8"/>
        <v>0</v>
      </c>
      <c r="AL42" s="64"/>
      <c r="AM42" s="64">
        <f t="shared" si="18"/>
        <v>125</v>
      </c>
      <c r="AN42" s="167"/>
      <c r="AO42" s="18">
        <f>Z42-13579</f>
        <v>-13579</v>
      </c>
      <c r="AP42">
        <f>13104</f>
        <v>13104</v>
      </c>
    </row>
    <row r="43" spans="1:44" ht="40.15" customHeight="1" x14ac:dyDescent="0.25">
      <c r="A43" s="30">
        <v>16</v>
      </c>
      <c r="B43" s="31" t="s">
        <v>73</v>
      </c>
      <c r="C43" s="221">
        <v>8112963</v>
      </c>
      <c r="D43" s="59"/>
      <c r="E43" s="59"/>
      <c r="F43" s="59"/>
      <c r="G43" s="59"/>
      <c r="H43" s="59"/>
      <c r="I43" s="59"/>
      <c r="J43" s="59"/>
      <c r="K43" s="59">
        <v>210</v>
      </c>
      <c r="L43" s="33"/>
      <c r="M43" s="34">
        <v>209.78</v>
      </c>
      <c r="N43" s="59">
        <v>3500</v>
      </c>
      <c r="O43" s="35">
        <v>7575</v>
      </c>
      <c r="P43" s="35"/>
      <c r="Q43" s="35"/>
      <c r="R43" s="35"/>
      <c r="S43" s="60"/>
      <c r="T43" s="35"/>
      <c r="U43" s="61"/>
      <c r="V43" s="61"/>
      <c r="W43" s="32">
        <f t="shared" si="9"/>
        <v>7575</v>
      </c>
      <c r="X43" s="210">
        <v>0</v>
      </c>
      <c r="Y43" s="210"/>
      <c r="Z43" s="209">
        <f t="shared" si="5"/>
        <v>0</v>
      </c>
      <c r="AA43" s="78">
        <f t="shared" si="16"/>
        <v>0</v>
      </c>
      <c r="AB43" s="63">
        <f t="shared" si="17"/>
        <v>0</v>
      </c>
      <c r="AC43" s="114"/>
      <c r="AD43" s="177">
        <f t="shared" si="2"/>
        <v>0</v>
      </c>
      <c r="AE43" s="33">
        <f t="shared" si="7"/>
        <v>7575</v>
      </c>
      <c r="AF43" s="64"/>
      <c r="AG43" s="64"/>
      <c r="AH43" s="41">
        <f t="shared" si="3"/>
        <v>7575</v>
      </c>
      <c r="AI43" s="65"/>
      <c r="AJ43" s="125">
        <f t="shared" si="4"/>
        <v>7575</v>
      </c>
      <c r="AK43" s="127">
        <f t="shared" si="8"/>
        <v>0</v>
      </c>
      <c r="AL43" s="64"/>
      <c r="AM43" s="64">
        <f t="shared" si="18"/>
        <v>7575</v>
      </c>
      <c r="AN43" s="174" t="s">
        <v>74</v>
      </c>
      <c r="AP43" s="18">
        <f>AP42-Z42</f>
        <v>13104</v>
      </c>
    </row>
    <row r="44" spans="1:44" ht="37.5" customHeight="1" x14ac:dyDescent="0.25">
      <c r="A44" s="30">
        <v>17</v>
      </c>
      <c r="B44" s="31" t="s">
        <v>75</v>
      </c>
      <c r="C44" s="221" t="s">
        <v>131</v>
      </c>
      <c r="D44" s="59"/>
      <c r="E44" s="59"/>
      <c r="F44" s="59"/>
      <c r="G44" s="59"/>
      <c r="H44" s="59"/>
      <c r="I44" s="59"/>
      <c r="J44" s="59">
        <v>50</v>
      </c>
      <c r="K44" s="59">
        <v>954</v>
      </c>
      <c r="L44" s="33"/>
      <c r="M44" s="34">
        <v>898.03700000000003</v>
      </c>
      <c r="N44" s="59">
        <v>34000</v>
      </c>
      <c r="O44" s="35">
        <v>34000</v>
      </c>
      <c r="P44" s="35"/>
      <c r="Q44" s="35"/>
      <c r="R44" s="35"/>
      <c r="S44" s="60"/>
      <c r="T44" s="35"/>
      <c r="U44" s="35"/>
      <c r="V44" s="35"/>
      <c r="W44" s="32">
        <f t="shared" si="9"/>
        <v>34000</v>
      </c>
      <c r="X44" s="210">
        <v>0</v>
      </c>
      <c r="Y44" s="210"/>
      <c r="Z44" s="209">
        <f t="shared" si="5"/>
        <v>0</v>
      </c>
      <c r="AA44" s="63">
        <f t="shared" si="16"/>
        <v>0</v>
      </c>
      <c r="AB44" s="63">
        <f t="shared" si="17"/>
        <v>0</v>
      </c>
      <c r="AC44" s="114"/>
      <c r="AD44" s="177">
        <f t="shared" si="2"/>
        <v>0</v>
      </c>
      <c r="AE44" s="33">
        <f t="shared" si="7"/>
        <v>34000</v>
      </c>
      <c r="AF44" s="64"/>
      <c r="AG44" s="64"/>
      <c r="AH44" s="41">
        <f t="shared" si="3"/>
        <v>34000</v>
      </c>
      <c r="AI44" s="65"/>
      <c r="AJ44" s="125">
        <f t="shared" si="4"/>
        <v>34000</v>
      </c>
      <c r="AK44" s="126">
        <f t="shared" si="8"/>
        <v>0</v>
      </c>
      <c r="AL44" s="67"/>
      <c r="AM44" s="64">
        <f t="shared" si="18"/>
        <v>34000</v>
      </c>
      <c r="AN44" s="166"/>
      <c r="AO44">
        <v>24869</v>
      </c>
    </row>
    <row r="45" spans="1:44" ht="39" customHeight="1" x14ac:dyDescent="0.25">
      <c r="A45" s="30">
        <v>18</v>
      </c>
      <c r="B45" s="31" t="s">
        <v>76</v>
      </c>
      <c r="C45" s="221">
        <v>8111982</v>
      </c>
      <c r="D45" s="59"/>
      <c r="E45" s="59"/>
      <c r="F45" s="59"/>
      <c r="G45" s="59"/>
      <c r="H45" s="59"/>
      <c r="I45" s="59"/>
      <c r="J45" s="59"/>
      <c r="K45" s="59">
        <v>300</v>
      </c>
      <c r="L45" s="33"/>
      <c r="M45" s="34">
        <v>264.39999999999998</v>
      </c>
      <c r="N45" s="59">
        <v>21</v>
      </c>
      <c r="O45" s="35">
        <v>21</v>
      </c>
      <c r="P45" s="35"/>
      <c r="Q45" s="35"/>
      <c r="R45" s="35"/>
      <c r="S45" s="35">
        <v>170</v>
      </c>
      <c r="T45" s="35"/>
      <c r="U45" s="35"/>
      <c r="V45" s="35"/>
      <c r="W45" s="32">
        <f t="shared" si="9"/>
        <v>191</v>
      </c>
      <c r="X45" s="210">
        <v>0</v>
      </c>
      <c r="Y45" s="210"/>
      <c r="Z45" s="209">
        <f t="shared" si="5"/>
        <v>0</v>
      </c>
      <c r="AA45" s="63">
        <f t="shared" si="16"/>
        <v>0</v>
      </c>
      <c r="AB45" s="63">
        <f t="shared" si="17"/>
        <v>0</v>
      </c>
      <c r="AC45" s="114">
        <v>21</v>
      </c>
      <c r="AD45" s="177">
        <f t="shared" si="2"/>
        <v>21</v>
      </c>
      <c r="AE45" s="33">
        <f t="shared" si="7"/>
        <v>191</v>
      </c>
      <c r="AF45" s="64"/>
      <c r="AG45" s="64"/>
      <c r="AH45" s="41">
        <f t="shared" si="3"/>
        <v>191</v>
      </c>
      <c r="AI45" s="65"/>
      <c r="AJ45" s="125">
        <f t="shared" si="4"/>
        <v>191</v>
      </c>
      <c r="AK45" s="126">
        <f t="shared" si="8"/>
        <v>0</v>
      </c>
      <c r="AL45" s="64"/>
      <c r="AM45" s="64">
        <f t="shared" si="18"/>
        <v>191</v>
      </c>
      <c r="AN45" s="167"/>
      <c r="AO45" s="19">
        <f>10338</f>
        <v>10338</v>
      </c>
      <c r="AQ45">
        <v>158</v>
      </c>
    </row>
    <row r="46" spans="1:44" ht="61.9" customHeight="1" x14ac:dyDescent="0.25">
      <c r="A46" s="30">
        <v>19</v>
      </c>
      <c r="B46" s="31" t="s">
        <v>78</v>
      </c>
      <c r="C46" s="221">
        <v>8101113</v>
      </c>
      <c r="D46" s="59"/>
      <c r="E46" s="59"/>
      <c r="F46" s="59"/>
      <c r="G46" s="59"/>
      <c r="H46" s="59"/>
      <c r="I46" s="59"/>
      <c r="J46" s="59"/>
      <c r="K46" s="59">
        <v>1014</v>
      </c>
      <c r="L46" s="33"/>
      <c r="M46" s="34">
        <v>331.15</v>
      </c>
      <c r="N46" s="59">
        <v>10</v>
      </c>
      <c r="O46" s="35">
        <v>33</v>
      </c>
      <c r="P46" s="35"/>
      <c r="Q46" s="35"/>
      <c r="R46" s="35"/>
      <c r="S46" s="60"/>
      <c r="T46" s="35"/>
      <c r="U46" s="61"/>
      <c r="V46" s="62"/>
      <c r="W46" s="32">
        <f t="shared" si="9"/>
        <v>33</v>
      </c>
      <c r="X46" s="210">
        <v>0</v>
      </c>
      <c r="Y46" s="210"/>
      <c r="Z46" s="209">
        <f t="shared" si="5"/>
        <v>0</v>
      </c>
      <c r="AA46" s="63">
        <f t="shared" si="16"/>
        <v>0</v>
      </c>
      <c r="AB46" s="63">
        <f t="shared" si="17"/>
        <v>0</v>
      </c>
      <c r="AC46" s="114">
        <v>10</v>
      </c>
      <c r="AD46" s="177">
        <f t="shared" si="2"/>
        <v>10</v>
      </c>
      <c r="AE46" s="33">
        <f t="shared" si="7"/>
        <v>33</v>
      </c>
      <c r="AF46" s="64"/>
      <c r="AG46" s="64"/>
      <c r="AH46" s="41">
        <f t="shared" si="3"/>
        <v>33</v>
      </c>
      <c r="AI46" s="65"/>
      <c r="AJ46" s="125">
        <f t="shared" si="4"/>
        <v>33</v>
      </c>
      <c r="AK46" s="126">
        <f t="shared" si="8"/>
        <v>0</v>
      </c>
      <c r="AL46" s="67"/>
      <c r="AM46" s="64">
        <f t="shared" si="18"/>
        <v>33</v>
      </c>
      <c r="AN46" s="166"/>
      <c r="AQ46">
        <v>55</v>
      </c>
    </row>
    <row r="47" spans="1:44" ht="48" customHeight="1" x14ac:dyDescent="0.25">
      <c r="A47" s="30">
        <v>20</v>
      </c>
      <c r="B47" s="31" t="s">
        <v>79</v>
      </c>
      <c r="C47" s="221">
        <v>8101117</v>
      </c>
      <c r="D47" s="59"/>
      <c r="E47" s="59"/>
      <c r="F47" s="59"/>
      <c r="G47" s="59"/>
      <c r="H47" s="59"/>
      <c r="I47" s="59"/>
      <c r="J47" s="59"/>
      <c r="K47" s="59">
        <v>500</v>
      </c>
      <c r="L47" s="33"/>
      <c r="M47" s="34">
        <v>115.9</v>
      </c>
      <c r="N47" s="59">
        <v>10</v>
      </c>
      <c r="O47" s="35">
        <v>10</v>
      </c>
      <c r="P47" s="35"/>
      <c r="Q47" s="35"/>
      <c r="R47" s="35"/>
      <c r="S47" s="60"/>
      <c r="T47" s="35"/>
      <c r="U47" s="61"/>
      <c r="V47" s="62"/>
      <c r="W47" s="32">
        <f t="shared" si="9"/>
        <v>10</v>
      </c>
      <c r="X47" s="210">
        <v>0</v>
      </c>
      <c r="Y47" s="210"/>
      <c r="Z47" s="209">
        <f t="shared" si="5"/>
        <v>0</v>
      </c>
      <c r="AA47" s="63">
        <f t="shared" si="16"/>
        <v>0</v>
      </c>
      <c r="AB47" s="63">
        <f t="shared" si="17"/>
        <v>0</v>
      </c>
      <c r="AC47" s="114">
        <v>10</v>
      </c>
      <c r="AD47" s="177">
        <f t="shared" si="2"/>
        <v>10</v>
      </c>
      <c r="AE47" s="33">
        <f t="shared" si="7"/>
        <v>10</v>
      </c>
      <c r="AF47" s="64"/>
      <c r="AG47" s="64"/>
      <c r="AH47" s="41">
        <f t="shared" si="3"/>
        <v>10</v>
      </c>
      <c r="AI47" s="65"/>
      <c r="AJ47" s="125">
        <f t="shared" si="4"/>
        <v>10</v>
      </c>
      <c r="AK47" s="126">
        <f t="shared" si="8"/>
        <v>0</v>
      </c>
      <c r="AL47" s="67"/>
      <c r="AM47" s="64">
        <f t="shared" si="18"/>
        <v>10</v>
      </c>
      <c r="AN47" s="166"/>
    </row>
    <row r="48" spans="1:44" ht="46.9" customHeight="1" x14ac:dyDescent="0.25">
      <c r="A48" s="30">
        <v>21</v>
      </c>
      <c r="B48" s="31" t="s">
        <v>80</v>
      </c>
      <c r="C48" s="221">
        <v>8100890</v>
      </c>
      <c r="D48" s="59"/>
      <c r="E48" s="59"/>
      <c r="F48" s="59"/>
      <c r="G48" s="59"/>
      <c r="H48" s="59"/>
      <c r="I48" s="59"/>
      <c r="J48" s="59"/>
      <c r="K48" s="59">
        <v>1000</v>
      </c>
      <c r="L48" s="33"/>
      <c r="M48" s="34">
        <v>173.7</v>
      </c>
      <c r="N48" s="59">
        <v>10</v>
      </c>
      <c r="O48" s="35">
        <v>10</v>
      </c>
      <c r="P48" s="35"/>
      <c r="Q48" s="35"/>
      <c r="R48" s="35"/>
      <c r="S48" s="60"/>
      <c r="T48" s="35"/>
      <c r="U48" s="35"/>
      <c r="V48" s="35"/>
      <c r="W48" s="32">
        <f t="shared" si="9"/>
        <v>10</v>
      </c>
      <c r="X48" s="210">
        <v>0</v>
      </c>
      <c r="Y48" s="210"/>
      <c r="Z48" s="209">
        <f t="shared" si="5"/>
        <v>0</v>
      </c>
      <c r="AA48" s="63">
        <f t="shared" si="16"/>
        <v>0</v>
      </c>
      <c r="AB48" s="63">
        <f t="shared" si="17"/>
        <v>0</v>
      </c>
      <c r="AC48" s="114">
        <v>10</v>
      </c>
      <c r="AD48" s="177">
        <f t="shared" si="2"/>
        <v>10</v>
      </c>
      <c r="AE48" s="33">
        <f t="shared" si="7"/>
        <v>10</v>
      </c>
      <c r="AF48" s="64"/>
      <c r="AG48" s="64"/>
      <c r="AH48" s="41">
        <f t="shared" si="3"/>
        <v>10</v>
      </c>
      <c r="AI48" s="65"/>
      <c r="AJ48" s="125">
        <f t="shared" si="4"/>
        <v>10</v>
      </c>
      <c r="AK48" s="126">
        <f t="shared" si="8"/>
        <v>0</v>
      </c>
      <c r="AL48" s="64"/>
      <c r="AM48" s="64">
        <f t="shared" si="18"/>
        <v>10</v>
      </c>
      <c r="AN48" s="166"/>
    </row>
    <row r="49" spans="1:46" ht="37.15" customHeight="1" x14ac:dyDescent="0.25">
      <c r="A49" s="30">
        <v>22</v>
      </c>
      <c r="B49" s="31" t="s">
        <v>81</v>
      </c>
      <c r="C49" s="221">
        <v>8101116</v>
      </c>
      <c r="D49" s="59"/>
      <c r="E49" s="59"/>
      <c r="F49" s="59"/>
      <c r="G49" s="59"/>
      <c r="H49" s="59"/>
      <c r="I49" s="59"/>
      <c r="J49" s="59"/>
      <c r="K49" s="59">
        <v>700</v>
      </c>
      <c r="L49" s="33"/>
      <c r="M49" s="34">
        <v>239.99999999999997</v>
      </c>
      <c r="N49" s="59">
        <v>20</v>
      </c>
      <c r="O49" s="35">
        <v>20</v>
      </c>
      <c r="P49" s="35"/>
      <c r="Q49" s="35"/>
      <c r="R49" s="35"/>
      <c r="S49" s="60"/>
      <c r="T49" s="35"/>
      <c r="U49" s="61"/>
      <c r="V49" s="62"/>
      <c r="W49" s="32">
        <f t="shared" si="9"/>
        <v>20</v>
      </c>
      <c r="X49" s="210">
        <v>0</v>
      </c>
      <c r="Y49" s="210"/>
      <c r="Z49" s="209">
        <f t="shared" si="5"/>
        <v>0</v>
      </c>
      <c r="AA49" s="63">
        <f t="shared" si="16"/>
        <v>0</v>
      </c>
      <c r="AB49" s="63">
        <f t="shared" si="17"/>
        <v>0</v>
      </c>
      <c r="AC49" s="114">
        <v>20</v>
      </c>
      <c r="AD49" s="177">
        <f t="shared" si="2"/>
        <v>20</v>
      </c>
      <c r="AE49" s="33">
        <f t="shared" si="7"/>
        <v>20</v>
      </c>
      <c r="AF49" s="64"/>
      <c r="AG49" s="64"/>
      <c r="AH49" s="41">
        <f t="shared" si="3"/>
        <v>20</v>
      </c>
      <c r="AI49" s="65"/>
      <c r="AJ49" s="125">
        <f t="shared" si="4"/>
        <v>20</v>
      </c>
      <c r="AK49" s="126">
        <f t="shared" si="8"/>
        <v>0</v>
      </c>
      <c r="AL49" s="67"/>
      <c r="AM49" s="64">
        <f t="shared" si="18"/>
        <v>20</v>
      </c>
      <c r="AN49" s="166"/>
    </row>
    <row r="50" spans="1:46" ht="47.45" customHeight="1" x14ac:dyDescent="0.25">
      <c r="A50" s="30">
        <v>23</v>
      </c>
      <c r="B50" s="31" t="s">
        <v>82</v>
      </c>
      <c r="C50" s="221">
        <v>8101115</v>
      </c>
      <c r="D50" s="59"/>
      <c r="E50" s="59"/>
      <c r="F50" s="59"/>
      <c r="G50" s="59"/>
      <c r="H50" s="59"/>
      <c r="I50" s="59"/>
      <c r="J50" s="59"/>
      <c r="K50" s="59">
        <v>1556</v>
      </c>
      <c r="L50" s="33"/>
      <c r="M50" s="34">
        <v>306.99099999999999</v>
      </c>
      <c r="N50" s="59">
        <v>50</v>
      </c>
      <c r="O50" s="35">
        <v>50</v>
      </c>
      <c r="P50" s="35"/>
      <c r="Q50" s="35"/>
      <c r="R50" s="35"/>
      <c r="S50" s="60"/>
      <c r="T50" s="35"/>
      <c r="U50" s="61"/>
      <c r="V50" s="62"/>
      <c r="W50" s="32">
        <f t="shared" si="9"/>
        <v>50</v>
      </c>
      <c r="X50" s="210">
        <v>0</v>
      </c>
      <c r="Y50" s="210"/>
      <c r="Z50" s="209">
        <f t="shared" si="5"/>
        <v>0</v>
      </c>
      <c r="AA50" s="63">
        <f t="shared" si="16"/>
        <v>0</v>
      </c>
      <c r="AB50" s="63">
        <f t="shared" si="17"/>
        <v>0</v>
      </c>
      <c r="AC50" s="114">
        <v>50</v>
      </c>
      <c r="AD50" s="177">
        <f t="shared" si="2"/>
        <v>50</v>
      </c>
      <c r="AE50" s="33">
        <f t="shared" si="7"/>
        <v>50</v>
      </c>
      <c r="AF50" s="64"/>
      <c r="AG50" s="64"/>
      <c r="AH50" s="41">
        <f t="shared" si="3"/>
        <v>50</v>
      </c>
      <c r="AI50" s="65"/>
      <c r="AJ50" s="125">
        <f t="shared" si="4"/>
        <v>50</v>
      </c>
      <c r="AK50" s="126">
        <f t="shared" si="8"/>
        <v>0</v>
      </c>
      <c r="AL50" s="67"/>
      <c r="AM50" s="64">
        <f t="shared" si="18"/>
        <v>50</v>
      </c>
      <c r="AN50" s="166"/>
    </row>
    <row r="51" spans="1:46" ht="60" x14ac:dyDescent="0.25">
      <c r="A51" s="30">
        <v>24</v>
      </c>
      <c r="B51" s="31" t="s">
        <v>83</v>
      </c>
      <c r="C51" s="221">
        <v>8101736</v>
      </c>
      <c r="D51" s="59"/>
      <c r="E51" s="59"/>
      <c r="F51" s="59"/>
      <c r="G51" s="59"/>
      <c r="H51" s="59"/>
      <c r="I51" s="59"/>
      <c r="J51" s="59"/>
      <c r="K51" s="59">
        <v>3750</v>
      </c>
      <c r="L51" s="33"/>
      <c r="M51" s="34">
        <v>507.4</v>
      </c>
      <c r="N51" s="59">
        <v>50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9"/>
        <v>50</v>
      </c>
      <c r="X51" s="210">
        <v>0</v>
      </c>
      <c r="Y51" s="210"/>
      <c r="Z51" s="209">
        <f t="shared" si="5"/>
        <v>0</v>
      </c>
      <c r="AA51" s="63">
        <f t="shared" si="16"/>
        <v>0</v>
      </c>
      <c r="AB51" s="63">
        <f t="shared" si="17"/>
        <v>0</v>
      </c>
      <c r="AC51" s="114">
        <v>50</v>
      </c>
      <c r="AD51" s="177">
        <f t="shared" si="2"/>
        <v>50</v>
      </c>
      <c r="AE51" s="33">
        <f t="shared" si="7"/>
        <v>50</v>
      </c>
      <c r="AF51" s="64"/>
      <c r="AG51" s="64"/>
      <c r="AH51" s="41">
        <f t="shared" si="3"/>
        <v>50</v>
      </c>
      <c r="AI51" s="65"/>
      <c r="AJ51" s="125">
        <f t="shared" si="4"/>
        <v>50</v>
      </c>
      <c r="AK51" s="126">
        <f t="shared" si="8"/>
        <v>0</v>
      </c>
      <c r="AL51" s="67"/>
      <c r="AM51" s="64">
        <f t="shared" si="18"/>
        <v>50</v>
      </c>
      <c r="AN51" s="171"/>
      <c r="AT51" s="176">
        <f>763431166</f>
        <v>763431166</v>
      </c>
    </row>
    <row r="52" spans="1:46" ht="45" x14ac:dyDescent="0.25">
      <c r="A52" s="30">
        <v>25</v>
      </c>
      <c r="B52" s="31" t="s">
        <v>84</v>
      </c>
      <c r="C52" s="221">
        <v>8112949</v>
      </c>
      <c r="D52" s="59"/>
      <c r="E52" s="59"/>
      <c r="F52" s="59"/>
      <c r="G52" s="59"/>
      <c r="H52" s="59"/>
      <c r="I52" s="59"/>
      <c r="J52" s="59"/>
      <c r="K52" s="59">
        <v>250</v>
      </c>
      <c r="L52" s="33"/>
      <c r="M52" s="34">
        <v>182.3</v>
      </c>
      <c r="N52" s="59">
        <v>15</v>
      </c>
      <c r="O52" s="35">
        <v>15</v>
      </c>
      <c r="P52" s="35"/>
      <c r="Q52" s="35"/>
      <c r="R52" s="35"/>
      <c r="S52" s="60"/>
      <c r="T52" s="35"/>
      <c r="U52" s="61"/>
      <c r="V52" s="61"/>
      <c r="W52" s="32">
        <f t="shared" si="9"/>
        <v>15</v>
      </c>
      <c r="X52" s="210">
        <v>0</v>
      </c>
      <c r="Y52" s="210"/>
      <c r="Z52" s="209">
        <f t="shared" si="5"/>
        <v>0</v>
      </c>
      <c r="AA52" s="63">
        <f t="shared" si="16"/>
        <v>0</v>
      </c>
      <c r="AB52" s="63">
        <f t="shared" si="17"/>
        <v>0</v>
      </c>
      <c r="AC52" s="114">
        <v>15</v>
      </c>
      <c r="AD52" s="177">
        <f t="shared" si="2"/>
        <v>15</v>
      </c>
      <c r="AE52" s="33">
        <f t="shared" si="7"/>
        <v>15</v>
      </c>
      <c r="AF52" s="64"/>
      <c r="AG52" s="64"/>
      <c r="AH52" s="41">
        <f t="shared" si="3"/>
        <v>15</v>
      </c>
      <c r="AI52" s="65"/>
      <c r="AJ52" s="125">
        <f t="shared" si="4"/>
        <v>15</v>
      </c>
      <c r="AK52" s="126">
        <f t="shared" si="8"/>
        <v>0</v>
      </c>
      <c r="AL52" s="67"/>
      <c r="AM52" s="64">
        <f t="shared" si="18"/>
        <v>15</v>
      </c>
      <c r="AN52" s="167"/>
      <c r="AT52" s="176">
        <f>46268556</f>
        <v>46268556</v>
      </c>
    </row>
    <row r="53" spans="1:46" ht="57.6" customHeight="1" x14ac:dyDescent="0.25">
      <c r="A53" s="30">
        <v>26</v>
      </c>
      <c r="B53" s="31" t="s">
        <v>85</v>
      </c>
      <c r="C53" s="221">
        <v>8111980</v>
      </c>
      <c r="D53" s="59"/>
      <c r="E53" s="59"/>
      <c r="F53" s="59"/>
      <c r="G53" s="59"/>
      <c r="H53" s="59"/>
      <c r="I53" s="59"/>
      <c r="J53" s="59"/>
      <c r="K53" s="59">
        <v>418</v>
      </c>
      <c r="L53" s="33"/>
      <c r="M53" s="34">
        <v>359.4</v>
      </c>
      <c r="N53" s="59">
        <v>33</v>
      </c>
      <c r="O53" s="35">
        <v>33</v>
      </c>
      <c r="P53" s="35"/>
      <c r="Q53" s="35"/>
      <c r="R53" s="35"/>
      <c r="S53" s="60"/>
      <c r="T53" s="35"/>
      <c r="U53" s="61"/>
      <c r="V53" s="61"/>
      <c r="W53" s="32">
        <f t="shared" si="9"/>
        <v>33</v>
      </c>
      <c r="X53" s="210">
        <v>0</v>
      </c>
      <c r="Y53" s="210"/>
      <c r="Z53" s="209">
        <f t="shared" si="5"/>
        <v>0</v>
      </c>
      <c r="AA53" s="63">
        <f t="shared" si="16"/>
        <v>0</v>
      </c>
      <c r="AB53" s="63">
        <f t="shared" si="17"/>
        <v>0</v>
      </c>
      <c r="AC53" s="114">
        <v>50</v>
      </c>
      <c r="AD53" s="177">
        <f t="shared" si="2"/>
        <v>50</v>
      </c>
      <c r="AE53" s="33">
        <f t="shared" si="7"/>
        <v>33</v>
      </c>
      <c r="AF53" s="64"/>
      <c r="AG53" s="64"/>
      <c r="AH53" s="41">
        <f t="shared" si="3"/>
        <v>33</v>
      </c>
      <c r="AI53" s="65"/>
      <c r="AJ53" s="125">
        <f t="shared" si="4"/>
        <v>33</v>
      </c>
      <c r="AK53" s="126">
        <f t="shared" si="8"/>
        <v>0</v>
      </c>
      <c r="AL53" s="67"/>
      <c r="AM53" s="64">
        <f t="shared" si="18"/>
        <v>33</v>
      </c>
      <c r="AN53" s="167"/>
    </row>
    <row r="54" spans="1:46" ht="85.9" customHeight="1" x14ac:dyDescent="0.25">
      <c r="A54" s="30">
        <v>27</v>
      </c>
      <c r="B54" s="31" t="s">
        <v>86</v>
      </c>
      <c r="C54" s="221">
        <v>8113485</v>
      </c>
      <c r="D54" s="59"/>
      <c r="E54" s="59"/>
      <c r="F54" s="59"/>
      <c r="G54" s="59"/>
      <c r="H54" s="59"/>
      <c r="I54" s="59"/>
      <c r="J54" s="59"/>
      <c r="K54" s="59">
        <v>500</v>
      </c>
      <c r="L54" s="33"/>
      <c r="M54" s="34">
        <v>442</v>
      </c>
      <c r="N54" s="59">
        <v>50</v>
      </c>
      <c r="O54" s="35">
        <v>50</v>
      </c>
      <c r="P54" s="35"/>
      <c r="Q54" s="35"/>
      <c r="R54" s="35"/>
      <c r="S54" s="60"/>
      <c r="T54" s="35"/>
      <c r="U54" s="35"/>
      <c r="V54" s="69"/>
      <c r="W54" s="32">
        <f t="shared" si="9"/>
        <v>50</v>
      </c>
      <c r="X54" s="210">
        <v>0</v>
      </c>
      <c r="Y54" s="210"/>
      <c r="Z54" s="209">
        <f t="shared" si="5"/>
        <v>0</v>
      </c>
      <c r="AA54" s="63">
        <f t="shared" si="16"/>
        <v>0</v>
      </c>
      <c r="AB54" s="63">
        <f t="shared" si="17"/>
        <v>0</v>
      </c>
      <c r="AC54" s="114">
        <v>50</v>
      </c>
      <c r="AD54" s="177">
        <f t="shared" si="2"/>
        <v>50</v>
      </c>
      <c r="AE54" s="33">
        <f t="shared" si="7"/>
        <v>50</v>
      </c>
      <c r="AF54" s="64"/>
      <c r="AG54" s="64"/>
      <c r="AH54" s="41">
        <f t="shared" si="3"/>
        <v>50</v>
      </c>
      <c r="AI54" s="65"/>
      <c r="AJ54" s="125">
        <f t="shared" si="4"/>
        <v>50</v>
      </c>
      <c r="AK54" s="126">
        <f t="shared" si="8"/>
        <v>0</v>
      </c>
      <c r="AL54" s="67"/>
      <c r="AM54" s="64">
        <f t="shared" si="18"/>
        <v>50</v>
      </c>
      <c r="AN54" s="167"/>
    </row>
    <row r="55" spans="1:46" ht="48" customHeight="1" x14ac:dyDescent="0.25">
      <c r="A55" s="30">
        <v>28</v>
      </c>
      <c r="B55" s="31" t="s">
        <v>87</v>
      </c>
      <c r="C55" s="221">
        <v>8113487</v>
      </c>
      <c r="D55" s="59"/>
      <c r="E55" s="59"/>
      <c r="F55" s="59"/>
      <c r="G55" s="59"/>
      <c r="H55" s="59"/>
      <c r="I55" s="59"/>
      <c r="J55" s="59"/>
      <c r="K55" s="59">
        <v>2000</v>
      </c>
      <c r="L55" s="33"/>
      <c r="M55" s="34">
        <v>229</v>
      </c>
      <c r="N55" s="59">
        <v>10</v>
      </c>
      <c r="O55" s="35">
        <v>50</v>
      </c>
      <c r="P55" s="35"/>
      <c r="Q55" s="35"/>
      <c r="R55" s="35"/>
      <c r="S55" s="60"/>
      <c r="T55" s="35"/>
      <c r="U55" s="61"/>
      <c r="V55" s="62"/>
      <c r="W55" s="32">
        <f t="shared" si="9"/>
        <v>50</v>
      </c>
      <c r="X55" s="210">
        <v>0</v>
      </c>
      <c r="Y55" s="210"/>
      <c r="Z55" s="209">
        <f t="shared" si="5"/>
        <v>0</v>
      </c>
      <c r="AA55" s="63">
        <f t="shared" si="16"/>
        <v>0</v>
      </c>
      <c r="AB55" s="63">
        <f t="shared" si="17"/>
        <v>0</v>
      </c>
      <c r="AC55" s="114">
        <v>10</v>
      </c>
      <c r="AD55" s="177">
        <f t="shared" si="2"/>
        <v>10</v>
      </c>
      <c r="AE55" s="33">
        <f t="shared" si="7"/>
        <v>50</v>
      </c>
      <c r="AF55" s="64"/>
      <c r="AG55" s="64"/>
      <c r="AH55" s="41">
        <f t="shared" si="3"/>
        <v>50</v>
      </c>
      <c r="AI55" s="65"/>
      <c r="AJ55" s="125">
        <f t="shared" si="4"/>
        <v>50</v>
      </c>
      <c r="AK55" s="126">
        <f t="shared" si="8"/>
        <v>0</v>
      </c>
      <c r="AL55" s="67"/>
      <c r="AM55" s="64">
        <f t="shared" si="18"/>
        <v>50</v>
      </c>
      <c r="AN55" s="167"/>
    </row>
    <row r="56" spans="1:46" ht="46.15" customHeight="1" x14ac:dyDescent="0.25">
      <c r="A56" s="30">
        <v>29</v>
      </c>
      <c r="B56" s="31" t="s">
        <v>88</v>
      </c>
      <c r="C56" s="221">
        <v>8112948</v>
      </c>
      <c r="D56" s="59"/>
      <c r="E56" s="59"/>
      <c r="F56" s="59"/>
      <c r="G56" s="59"/>
      <c r="H56" s="59"/>
      <c r="I56" s="59"/>
      <c r="J56" s="59"/>
      <c r="K56" s="59">
        <v>284</v>
      </c>
      <c r="L56" s="33"/>
      <c r="M56" s="34">
        <v>129.5</v>
      </c>
      <c r="N56" s="59">
        <v>6</v>
      </c>
      <c r="O56" s="35">
        <v>6</v>
      </c>
      <c r="P56" s="35"/>
      <c r="Q56" s="35"/>
      <c r="R56" s="35"/>
      <c r="S56" s="60"/>
      <c r="T56" s="35"/>
      <c r="U56" s="61"/>
      <c r="V56" s="61"/>
      <c r="W56" s="32">
        <f t="shared" si="9"/>
        <v>6</v>
      </c>
      <c r="X56" s="210">
        <v>0</v>
      </c>
      <c r="Y56" s="210"/>
      <c r="Z56" s="209">
        <f t="shared" si="5"/>
        <v>0</v>
      </c>
      <c r="AA56" s="63">
        <f t="shared" si="16"/>
        <v>0</v>
      </c>
      <c r="AB56" s="63">
        <f t="shared" si="17"/>
        <v>0</v>
      </c>
      <c r="AC56" s="114">
        <v>6</v>
      </c>
      <c r="AD56" s="177">
        <f t="shared" si="2"/>
        <v>6</v>
      </c>
      <c r="AE56" s="33">
        <f t="shared" si="7"/>
        <v>6</v>
      </c>
      <c r="AF56" s="64"/>
      <c r="AG56" s="64"/>
      <c r="AH56" s="41">
        <f t="shared" si="3"/>
        <v>6</v>
      </c>
      <c r="AI56" s="65"/>
      <c r="AJ56" s="125">
        <f t="shared" si="4"/>
        <v>6</v>
      </c>
      <c r="AK56" s="126">
        <f t="shared" si="8"/>
        <v>0</v>
      </c>
      <c r="AL56" s="67"/>
      <c r="AM56" s="64">
        <f t="shared" si="18"/>
        <v>6</v>
      </c>
      <c r="AN56" s="167"/>
    </row>
    <row r="57" spans="1:46" ht="51.6" customHeight="1" x14ac:dyDescent="0.25">
      <c r="A57" s="30">
        <v>30</v>
      </c>
      <c r="B57" s="31" t="s">
        <v>89</v>
      </c>
      <c r="C57" s="221">
        <v>8118634</v>
      </c>
      <c r="D57" s="59"/>
      <c r="E57" s="59"/>
      <c r="F57" s="59"/>
      <c r="G57" s="59"/>
      <c r="H57" s="59"/>
      <c r="I57" s="59"/>
      <c r="J57" s="59"/>
      <c r="K57" s="59">
        <v>460</v>
      </c>
      <c r="L57" s="33"/>
      <c r="M57" s="34">
        <v>388.14</v>
      </c>
      <c r="N57" s="59">
        <v>23</v>
      </c>
      <c r="O57" s="35">
        <v>23</v>
      </c>
      <c r="P57" s="35"/>
      <c r="Q57" s="35"/>
      <c r="R57" s="35"/>
      <c r="S57" s="60"/>
      <c r="T57" s="35"/>
      <c r="U57" s="61"/>
      <c r="V57" s="61"/>
      <c r="W57" s="32">
        <f t="shared" si="9"/>
        <v>23</v>
      </c>
      <c r="X57" s="210">
        <v>0</v>
      </c>
      <c r="Y57" s="210"/>
      <c r="Z57" s="209">
        <f t="shared" si="5"/>
        <v>0</v>
      </c>
      <c r="AA57" s="63">
        <f t="shared" si="16"/>
        <v>0</v>
      </c>
      <c r="AB57" s="63">
        <f t="shared" si="17"/>
        <v>0</v>
      </c>
      <c r="AC57" s="114">
        <v>23</v>
      </c>
      <c r="AD57" s="177">
        <f t="shared" si="2"/>
        <v>23</v>
      </c>
      <c r="AE57" s="33">
        <f t="shared" si="7"/>
        <v>23</v>
      </c>
      <c r="AF57" s="64"/>
      <c r="AG57" s="64"/>
      <c r="AH57" s="41">
        <f t="shared" si="3"/>
        <v>23</v>
      </c>
      <c r="AI57" s="65"/>
      <c r="AJ57" s="125">
        <f t="shared" si="4"/>
        <v>23</v>
      </c>
      <c r="AK57" s="126">
        <f t="shared" si="8"/>
        <v>0</v>
      </c>
      <c r="AL57" s="67"/>
      <c r="AM57" s="64">
        <f t="shared" si="18"/>
        <v>23</v>
      </c>
      <c r="AN57" s="167"/>
    </row>
    <row r="58" spans="1:46" ht="60.6" customHeight="1" x14ac:dyDescent="0.25">
      <c r="A58" s="30">
        <v>31</v>
      </c>
      <c r="B58" s="31" t="s">
        <v>90</v>
      </c>
      <c r="C58" s="221">
        <v>8111984</v>
      </c>
      <c r="D58" s="59"/>
      <c r="E58" s="59"/>
      <c r="F58" s="59"/>
      <c r="G58" s="59"/>
      <c r="H58" s="59"/>
      <c r="I58" s="59"/>
      <c r="J58" s="59"/>
      <c r="K58" s="59">
        <v>3000</v>
      </c>
      <c r="L58" s="33"/>
      <c r="M58" s="34">
        <v>531</v>
      </c>
      <c r="N58" s="59">
        <v>25</v>
      </c>
      <c r="O58" s="35">
        <v>25</v>
      </c>
      <c r="P58" s="35"/>
      <c r="Q58" s="35"/>
      <c r="R58" s="35"/>
      <c r="S58" s="60"/>
      <c r="T58" s="35"/>
      <c r="U58" s="61"/>
      <c r="V58" s="62"/>
      <c r="W58" s="32">
        <f t="shared" si="9"/>
        <v>25</v>
      </c>
      <c r="X58" s="210">
        <v>0</v>
      </c>
      <c r="Y58" s="210"/>
      <c r="Z58" s="209">
        <f t="shared" si="5"/>
        <v>0</v>
      </c>
      <c r="AA58" s="63">
        <f t="shared" si="16"/>
        <v>0</v>
      </c>
      <c r="AB58" s="63">
        <f t="shared" si="17"/>
        <v>0</v>
      </c>
      <c r="AC58" s="114">
        <v>25</v>
      </c>
      <c r="AD58" s="177">
        <f t="shared" si="2"/>
        <v>25</v>
      </c>
      <c r="AE58" s="33">
        <f t="shared" si="7"/>
        <v>25</v>
      </c>
      <c r="AF58" s="64"/>
      <c r="AG58" s="64"/>
      <c r="AH58" s="41">
        <f t="shared" si="3"/>
        <v>25</v>
      </c>
      <c r="AI58" s="65"/>
      <c r="AJ58" s="125">
        <f t="shared" si="4"/>
        <v>25</v>
      </c>
      <c r="AK58" s="126">
        <f t="shared" si="8"/>
        <v>0</v>
      </c>
      <c r="AL58" s="67"/>
      <c r="AM58" s="64">
        <f t="shared" si="18"/>
        <v>25</v>
      </c>
      <c r="AN58" s="167"/>
    </row>
    <row r="59" spans="1:46" ht="61.9" customHeight="1" x14ac:dyDescent="0.25">
      <c r="A59" s="30">
        <v>32</v>
      </c>
      <c r="B59" s="31" t="s">
        <v>91</v>
      </c>
      <c r="C59" s="221">
        <v>8111979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547.70000000000005</v>
      </c>
      <c r="N59" s="59"/>
      <c r="O59" s="35"/>
      <c r="P59" s="35"/>
      <c r="Q59" s="35"/>
      <c r="R59" s="35"/>
      <c r="S59" s="35">
        <v>265</v>
      </c>
      <c r="T59" s="35"/>
      <c r="U59" s="35"/>
      <c r="V59" s="69"/>
      <c r="W59" s="32">
        <f t="shared" si="9"/>
        <v>265</v>
      </c>
      <c r="X59" s="210">
        <v>0</v>
      </c>
      <c r="Y59" s="210"/>
      <c r="Z59" s="209">
        <f t="shared" si="5"/>
        <v>0</v>
      </c>
      <c r="AA59" s="63">
        <v>0</v>
      </c>
      <c r="AB59" s="63">
        <v>0</v>
      </c>
      <c r="AC59" s="114"/>
      <c r="AD59" s="177">
        <f t="shared" si="2"/>
        <v>0</v>
      </c>
      <c r="AE59" s="33">
        <f t="shared" si="7"/>
        <v>265</v>
      </c>
      <c r="AF59" s="64"/>
      <c r="AG59" s="64"/>
      <c r="AH59" s="41">
        <f t="shared" si="3"/>
        <v>265</v>
      </c>
      <c r="AI59" s="65"/>
      <c r="AJ59" s="125">
        <f t="shared" si="4"/>
        <v>265</v>
      </c>
      <c r="AK59" s="126">
        <f t="shared" si="8"/>
        <v>0</v>
      </c>
      <c r="AL59" s="67"/>
      <c r="AM59" s="64">
        <f t="shared" si="18"/>
        <v>265</v>
      </c>
      <c r="AN59" s="167"/>
    </row>
    <row r="60" spans="1:46" ht="51.6" customHeight="1" x14ac:dyDescent="0.25">
      <c r="A60" s="30">
        <v>33</v>
      </c>
      <c r="B60" s="31" t="s">
        <v>92</v>
      </c>
      <c r="C60" s="221">
        <v>8113209</v>
      </c>
      <c r="D60" s="59"/>
      <c r="E60" s="59"/>
      <c r="F60" s="59"/>
      <c r="G60" s="59"/>
      <c r="H60" s="59"/>
      <c r="I60" s="59"/>
      <c r="J60" s="59"/>
      <c r="K60" s="59">
        <v>300</v>
      </c>
      <c r="L60" s="33"/>
      <c r="M60" s="34">
        <v>267.56</v>
      </c>
      <c r="N60" s="59">
        <v>61775</v>
      </c>
      <c r="O60" s="35">
        <v>61775</v>
      </c>
      <c r="P60" s="35"/>
      <c r="Q60" s="35"/>
      <c r="R60" s="35"/>
      <c r="S60" s="60"/>
      <c r="T60" s="35"/>
      <c r="U60" s="61"/>
      <c r="V60" s="62"/>
      <c r="W60" s="32">
        <f t="shared" si="9"/>
        <v>61775</v>
      </c>
      <c r="X60" s="210">
        <v>19742.460999999999</v>
      </c>
      <c r="Y60" s="210"/>
      <c r="Z60" s="209">
        <f t="shared" si="5"/>
        <v>19742.460999999999</v>
      </c>
      <c r="AA60" s="63">
        <f t="shared" si="16"/>
        <v>0.31958658033184945</v>
      </c>
      <c r="AB60" s="63">
        <f t="shared" si="17"/>
        <v>0.31958658033184945</v>
      </c>
      <c r="AC60" s="114">
        <v>14784</v>
      </c>
      <c r="AD60" s="177">
        <f t="shared" si="2"/>
        <v>14784</v>
      </c>
      <c r="AE60" s="33">
        <f t="shared" si="7"/>
        <v>42032.539000000004</v>
      </c>
      <c r="AF60" s="64"/>
      <c r="AG60" s="64"/>
      <c r="AH60" s="41">
        <f t="shared" si="3"/>
        <v>42032.539000000004</v>
      </c>
      <c r="AI60" s="65">
        <v>10000</v>
      </c>
      <c r="AJ60" s="125">
        <f t="shared" si="4"/>
        <v>32032.539000000004</v>
      </c>
      <c r="AK60" s="126">
        <f t="shared" si="8"/>
        <v>0.48146436260623227</v>
      </c>
      <c r="AL60" s="67"/>
      <c r="AM60" s="64">
        <f t="shared" si="18"/>
        <v>42032.539000000004</v>
      </c>
      <c r="AN60" s="167"/>
    </row>
    <row r="61" spans="1:46" ht="45" x14ac:dyDescent="0.25">
      <c r="A61" s="30">
        <v>34</v>
      </c>
      <c r="B61" s="31" t="s">
        <v>93</v>
      </c>
      <c r="C61" s="221">
        <v>8100888</v>
      </c>
      <c r="D61" s="59"/>
      <c r="E61" s="59"/>
      <c r="F61" s="59"/>
      <c r="G61" s="59"/>
      <c r="H61" s="59"/>
      <c r="I61" s="59"/>
      <c r="J61" s="59"/>
      <c r="K61" s="59">
        <v>1983</v>
      </c>
      <c r="L61" s="33"/>
      <c r="M61" s="34">
        <v>1530</v>
      </c>
      <c r="N61" s="59">
        <v>372925</v>
      </c>
      <c r="O61" s="35">
        <v>745850</v>
      </c>
      <c r="P61" s="35"/>
      <c r="Q61" s="35"/>
      <c r="R61" s="35"/>
      <c r="S61" s="60"/>
      <c r="T61" s="35"/>
      <c r="U61" s="61"/>
      <c r="V61" s="62"/>
      <c r="W61" s="32">
        <f t="shared" si="9"/>
        <v>745850</v>
      </c>
      <c r="X61" s="210">
        <v>497783.54</v>
      </c>
      <c r="Y61" s="210"/>
      <c r="Z61" s="209">
        <f t="shared" si="5"/>
        <v>497783.54</v>
      </c>
      <c r="AA61" s="63">
        <f>Z61/W61</f>
        <v>0.66740435744452631</v>
      </c>
      <c r="AB61" s="63">
        <f>Z61/N61</f>
        <v>1.3348087148890526</v>
      </c>
      <c r="AC61" s="114"/>
      <c r="AD61" s="177">
        <f t="shared" si="2"/>
        <v>0</v>
      </c>
      <c r="AE61" s="33">
        <f>W61-Z61</f>
        <v>248066.46000000002</v>
      </c>
      <c r="AF61" s="64"/>
      <c r="AG61" s="64"/>
      <c r="AH61" s="41">
        <f t="shared" si="3"/>
        <v>248066.46000000002</v>
      </c>
      <c r="AI61" s="65">
        <v>270000</v>
      </c>
      <c r="AJ61" s="125">
        <f t="shared" si="4"/>
        <v>-21933.539999999979</v>
      </c>
      <c r="AK61" s="126">
        <f t="shared" si="8"/>
        <v>1.0294074411744989</v>
      </c>
      <c r="AL61" s="67"/>
      <c r="AM61" s="64">
        <f t="shared" si="18"/>
        <v>248066.46000000002</v>
      </c>
      <c r="AN61" s="167" t="s">
        <v>152</v>
      </c>
      <c r="AP61" s="20">
        <v>167340</v>
      </c>
      <c r="AQ61" s="22">
        <v>167340</v>
      </c>
    </row>
    <row r="62" spans="1:46" ht="40.5" customHeight="1" x14ac:dyDescent="0.25">
      <c r="A62" s="51" t="s">
        <v>183</v>
      </c>
      <c r="B62" s="225" t="s">
        <v>185</v>
      </c>
      <c r="C62" s="215"/>
      <c r="D62" s="76"/>
      <c r="E62" s="76"/>
      <c r="F62" s="76"/>
      <c r="G62" s="76"/>
      <c r="H62" s="76"/>
      <c r="I62" s="76"/>
      <c r="J62" s="76"/>
      <c r="K62" s="76"/>
      <c r="L62" s="33"/>
      <c r="M62" s="34"/>
      <c r="N62" s="76"/>
      <c r="O62" s="136"/>
      <c r="P62" s="76"/>
      <c r="Q62" s="76"/>
      <c r="R62" s="76"/>
      <c r="S62" s="60"/>
      <c r="T62" s="76"/>
      <c r="U62" s="76"/>
      <c r="V62" s="76"/>
      <c r="W62" s="32">
        <f>SUM(O62:V62)</f>
        <v>0</v>
      </c>
      <c r="X62" s="210">
        <v>0</v>
      </c>
      <c r="Y62" s="210"/>
      <c r="Z62" s="209">
        <f t="shared" si="5"/>
        <v>0</v>
      </c>
      <c r="AA62" s="63"/>
      <c r="AB62" s="63"/>
      <c r="AC62" s="114"/>
      <c r="AD62" s="114"/>
      <c r="AE62" s="33">
        <f t="shared" ref="AE62:AE66" si="19">W62-Z62</f>
        <v>0</v>
      </c>
      <c r="AF62" s="64"/>
      <c r="AG62" s="64"/>
      <c r="AH62" s="41">
        <f t="shared" si="3"/>
        <v>0</v>
      </c>
      <c r="AI62" s="65"/>
      <c r="AJ62" s="125">
        <f t="shared" si="4"/>
        <v>0</v>
      </c>
      <c r="AK62" s="126"/>
      <c r="AL62" s="67"/>
      <c r="AM62" s="67"/>
      <c r="AN62" s="172"/>
      <c r="AP62" s="21">
        <f>AP61-Z61</f>
        <v>-330443.53999999998</v>
      </c>
      <c r="AQ62" s="23">
        <f>AQ61-Z61</f>
        <v>-330443.53999999998</v>
      </c>
    </row>
    <row r="63" spans="1:46" ht="30" customHeight="1" x14ac:dyDescent="0.25">
      <c r="A63" s="30">
        <v>1</v>
      </c>
      <c r="B63" s="31" t="s">
        <v>156</v>
      </c>
      <c r="C63" s="223" t="s">
        <v>164</v>
      </c>
      <c r="D63" s="59"/>
      <c r="E63" s="59"/>
      <c r="F63" s="59"/>
      <c r="G63" s="59"/>
      <c r="H63" s="59"/>
      <c r="I63" s="59"/>
      <c r="J63" s="59">
        <v>5354</v>
      </c>
      <c r="K63" s="59">
        <v>19662</v>
      </c>
      <c r="L63" s="33"/>
      <c r="M63" s="34">
        <v>19661.934000000001</v>
      </c>
      <c r="N63" s="59"/>
      <c r="O63" s="35"/>
      <c r="P63" s="35">
        <v>100</v>
      </c>
      <c r="Q63" s="35"/>
      <c r="R63" s="35">
        <v>700</v>
      </c>
      <c r="S63" s="60"/>
      <c r="T63" s="35"/>
      <c r="U63" s="35"/>
      <c r="V63" s="35"/>
      <c r="W63" s="32">
        <f>SUM(O63:V63)</f>
        <v>800</v>
      </c>
      <c r="X63" s="210">
        <v>100</v>
      </c>
      <c r="Y63" s="210"/>
      <c r="Z63" s="209">
        <f t="shared" si="5"/>
        <v>100</v>
      </c>
      <c r="AA63" s="186">
        <f>Z63/W63</f>
        <v>0.125</v>
      </c>
      <c r="AB63" s="63">
        <v>0</v>
      </c>
      <c r="AC63" s="114"/>
      <c r="AD63" s="186"/>
      <c r="AE63" s="33">
        <f t="shared" si="19"/>
        <v>700</v>
      </c>
      <c r="AF63" s="64"/>
      <c r="AG63" s="64"/>
      <c r="AH63" s="41">
        <f t="shared" si="3"/>
        <v>700</v>
      </c>
      <c r="AI63" s="65"/>
      <c r="AJ63" s="125">
        <f t="shared" si="4"/>
        <v>700</v>
      </c>
      <c r="AK63" s="126">
        <f t="shared" si="8"/>
        <v>0.125</v>
      </c>
      <c r="AL63" s="67"/>
      <c r="AM63" s="67"/>
      <c r="AN63" s="173"/>
      <c r="AQ63" s="24">
        <f>383-60</f>
        <v>323</v>
      </c>
    </row>
    <row r="64" spans="1:46" ht="36" customHeight="1" x14ac:dyDescent="0.25">
      <c r="A64" s="30">
        <v>2</v>
      </c>
      <c r="B64" s="31" t="s">
        <v>157</v>
      </c>
      <c r="C64" s="223" t="s">
        <v>165</v>
      </c>
      <c r="D64" s="59"/>
      <c r="E64" s="59">
        <v>7500</v>
      </c>
      <c r="F64" s="59">
        <v>2600</v>
      </c>
      <c r="G64" s="59"/>
      <c r="H64" s="59"/>
      <c r="I64" s="59"/>
      <c r="J64" s="59">
        <v>6090</v>
      </c>
      <c r="K64" s="59">
        <v>19816</v>
      </c>
      <c r="L64" s="33"/>
      <c r="M64" s="59"/>
      <c r="N64" s="59"/>
      <c r="O64" s="35"/>
      <c r="P64" s="35">
        <v>100</v>
      </c>
      <c r="Q64" s="35"/>
      <c r="R64" s="35">
        <v>1000</v>
      </c>
      <c r="S64" s="60"/>
      <c r="T64" s="35"/>
      <c r="U64" s="61"/>
      <c r="V64" s="62"/>
      <c r="W64" s="32">
        <f>SUM(O64:V64)</f>
        <v>1100</v>
      </c>
      <c r="X64" s="210">
        <v>100</v>
      </c>
      <c r="Y64" s="210"/>
      <c r="Z64" s="209">
        <f t="shared" si="5"/>
        <v>100</v>
      </c>
      <c r="AA64" s="186">
        <f t="shared" ref="AA64:AA66" si="20">Z64/W64</f>
        <v>9.0909090909090912E-2</v>
      </c>
      <c r="AB64" s="63">
        <v>0</v>
      </c>
      <c r="AC64" s="114"/>
      <c r="AD64" s="186"/>
      <c r="AE64" s="33">
        <f t="shared" si="19"/>
        <v>1000</v>
      </c>
      <c r="AF64" s="64"/>
      <c r="AG64" s="64"/>
      <c r="AH64" s="41">
        <f t="shared" si="3"/>
        <v>1000</v>
      </c>
      <c r="AI64" s="65"/>
      <c r="AJ64" s="125">
        <f t="shared" si="4"/>
        <v>1000</v>
      </c>
      <c r="AK64" s="126">
        <f t="shared" si="8"/>
        <v>9.0909090909090912E-2</v>
      </c>
      <c r="AL64" s="67"/>
      <c r="AM64" s="67"/>
      <c r="AN64" s="173"/>
    </row>
    <row r="65" spans="1:40" ht="48" customHeight="1" x14ac:dyDescent="0.25">
      <c r="A65" s="30">
        <v>3</v>
      </c>
      <c r="B65" s="31" t="s">
        <v>158</v>
      </c>
      <c r="C65" s="223" t="s">
        <v>166</v>
      </c>
      <c r="D65" s="59"/>
      <c r="E65" s="59">
        <v>6200</v>
      </c>
      <c r="F65" s="59">
        <v>4220</v>
      </c>
      <c r="G65" s="59"/>
      <c r="H65" s="59">
        <v>3960</v>
      </c>
      <c r="I65" s="59"/>
      <c r="J65" s="59"/>
      <c r="K65" s="59">
        <v>5251</v>
      </c>
      <c r="L65" s="33"/>
      <c r="M65" s="59"/>
      <c r="N65" s="59"/>
      <c r="O65" s="35"/>
      <c r="P65" s="35">
        <v>100</v>
      </c>
      <c r="Q65" s="35"/>
      <c r="R65" s="35">
        <v>1000</v>
      </c>
      <c r="S65" s="60"/>
      <c r="T65" s="35"/>
      <c r="U65" s="61"/>
      <c r="V65" s="61"/>
      <c r="W65" s="32">
        <f t="shared" ref="W65:W73" si="21">SUM(O65:V65)</f>
        <v>1100</v>
      </c>
      <c r="X65" s="210">
        <v>100</v>
      </c>
      <c r="Y65" s="210"/>
      <c r="Z65" s="209">
        <f t="shared" si="5"/>
        <v>100</v>
      </c>
      <c r="AA65" s="186">
        <f t="shared" si="20"/>
        <v>9.0909090909090912E-2</v>
      </c>
      <c r="AB65" s="63">
        <v>0</v>
      </c>
      <c r="AC65" s="114"/>
      <c r="AD65" s="186"/>
      <c r="AE65" s="33">
        <f t="shared" si="19"/>
        <v>1000</v>
      </c>
      <c r="AF65" s="64"/>
      <c r="AG65" s="64"/>
      <c r="AH65" s="41">
        <f t="shared" si="3"/>
        <v>1000</v>
      </c>
      <c r="AI65" s="65"/>
      <c r="AJ65" s="125">
        <f t="shared" si="4"/>
        <v>1000</v>
      </c>
      <c r="AK65" s="126">
        <f t="shared" si="8"/>
        <v>9.0909090909090912E-2</v>
      </c>
      <c r="AL65" s="64"/>
      <c r="AM65" s="64"/>
      <c r="AN65" s="173"/>
    </row>
    <row r="66" spans="1:40" ht="60.6" customHeight="1" x14ac:dyDescent="0.25">
      <c r="A66" s="30">
        <v>4</v>
      </c>
      <c r="B66" s="31" t="s">
        <v>159</v>
      </c>
      <c r="C66" s="223" t="s">
        <v>167</v>
      </c>
      <c r="D66" s="59"/>
      <c r="E66" s="59"/>
      <c r="F66" s="59"/>
      <c r="G66" s="59"/>
      <c r="H66" s="59">
        <v>103</v>
      </c>
      <c r="I66" s="59"/>
      <c r="J66" s="59">
        <v>1500</v>
      </c>
      <c r="K66" s="59"/>
      <c r="L66" s="33"/>
      <c r="M66" s="59"/>
      <c r="N66" s="59"/>
      <c r="O66" s="35"/>
      <c r="P66" s="35">
        <v>100</v>
      </c>
      <c r="Q66" s="35"/>
      <c r="R66" s="35">
        <v>600</v>
      </c>
      <c r="S66" s="60"/>
      <c r="T66" s="35"/>
      <c r="U66" s="35"/>
      <c r="V66" s="35"/>
      <c r="W66" s="32">
        <f t="shared" si="21"/>
        <v>700</v>
      </c>
      <c r="X66" s="210">
        <v>100</v>
      </c>
      <c r="Y66" s="210"/>
      <c r="Z66" s="209">
        <f t="shared" si="5"/>
        <v>100</v>
      </c>
      <c r="AA66" s="186">
        <f t="shared" si="20"/>
        <v>0.14285714285714285</v>
      </c>
      <c r="AB66" s="63">
        <v>0</v>
      </c>
      <c r="AC66" s="114"/>
      <c r="AD66" s="186"/>
      <c r="AE66" s="33">
        <f t="shared" si="19"/>
        <v>600</v>
      </c>
      <c r="AF66" s="64"/>
      <c r="AG66" s="64"/>
      <c r="AH66" s="41">
        <f t="shared" si="3"/>
        <v>600</v>
      </c>
      <c r="AI66" s="65"/>
      <c r="AJ66" s="125">
        <f t="shared" si="4"/>
        <v>600</v>
      </c>
      <c r="AK66" s="126">
        <f t="shared" si="8"/>
        <v>0.14285714285714285</v>
      </c>
      <c r="AL66" s="67"/>
      <c r="AM66" s="67"/>
      <c r="AN66" s="173"/>
    </row>
    <row r="67" spans="1:40" ht="61.15" customHeight="1" x14ac:dyDescent="0.25">
      <c r="A67" s="30">
        <v>5</v>
      </c>
      <c r="B67" s="31" t="s">
        <v>160</v>
      </c>
      <c r="C67" s="223" t="s">
        <v>168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80"/>
      <c r="P67" s="35">
        <v>100</v>
      </c>
      <c r="Q67" s="179"/>
      <c r="R67" s="35">
        <v>250</v>
      </c>
      <c r="S67" s="179"/>
      <c r="T67" s="179"/>
      <c r="U67" s="179"/>
      <c r="V67" s="179"/>
      <c r="W67" s="32">
        <f t="shared" si="21"/>
        <v>350</v>
      </c>
      <c r="X67" s="210">
        <v>100</v>
      </c>
      <c r="Y67" s="211"/>
      <c r="Z67" s="211">
        <f>SUM(X67:Y67)</f>
        <v>100</v>
      </c>
      <c r="AA67" s="187">
        <f>Z67/W67</f>
        <v>0.2857142857142857</v>
      </c>
      <c r="AB67" s="63">
        <v>0</v>
      </c>
      <c r="AC67" s="179"/>
      <c r="AD67" s="186"/>
      <c r="AE67" s="33">
        <f>W67-Z67</f>
        <v>250</v>
      </c>
      <c r="AF67" s="179"/>
      <c r="AG67" s="179"/>
      <c r="AH67" s="179"/>
      <c r="AI67" s="179"/>
      <c r="AJ67" s="179">
        <f t="shared" si="4"/>
        <v>250</v>
      </c>
      <c r="AK67" s="179">
        <f t="shared" si="8"/>
        <v>0.2857142857142857</v>
      </c>
      <c r="AL67" s="179"/>
      <c r="AM67" s="179"/>
      <c r="AN67" s="173"/>
    </row>
    <row r="68" spans="1:40" ht="135.6" customHeight="1" x14ac:dyDescent="0.25">
      <c r="A68" s="190">
        <v>6</v>
      </c>
      <c r="B68" s="31" t="s">
        <v>161</v>
      </c>
      <c r="C68" s="192" t="s">
        <v>169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93"/>
      <c r="O68" s="194"/>
      <c r="P68" s="195">
        <v>100</v>
      </c>
      <c r="Q68" s="181"/>
      <c r="R68" s="35">
        <v>600</v>
      </c>
      <c r="S68" s="181"/>
      <c r="T68" s="181"/>
      <c r="U68" s="181"/>
      <c r="V68" s="181"/>
      <c r="W68" s="32">
        <f t="shared" si="21"/>
        <v>700</v>
      </c>
      <c r="X68" s="210">
        <v>100</v>
      </c>
      <c r="Y68" s="212"/>
      <c r="Z68" s="212">
        <f>SUM(X68:Y68)</f>
        <v>100</v>
      </c>
      <c r="AA68" s="197">
        <f>Z68/W68</f>
        <v>0.14285714285714285</v>
      </c>
      <c r="AB68" s="198">
        <v>0</v>
      </c>
      <c r="AC68" s="193"/>
      <c r="AD68" s="197"/>
      <c r="AE68" s="199">
        <f>W68-Z68</f>
        <v>600</v>
      </c>
      <c r="AF68" s="179"/>
      <c r="AG68" s="179"/>
      <c r="AH68" s="179"/>
      <c r="AI68" s="179"/>
      <c r="AJ68" s="179"/>
      <c r="AK68" s="179"/>
      <c r="AL68" s="179"/>
      <c r="AM68" s="179"/>
      <c r="AN68" s="200"/>
    </row>
    <row r="69" spans="1:40" s="20" customFormat="1" ht="76.150000000000006" customHeight="1" x14ac:dyDescent="0.25">
      <c r="A69" s="30">
        <v>7</v>
      </c>
      <c r="B69" s="249" t="s">
        <v>162</v>
      </c>
      <c r="C69" s="223" t="s">
        <v>170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5"/>
      <c r="P69" s="35">
        <v>100</v>
      </c>
      <c r="Q69" s="182"/>
      <c r="R69" s="35">
        <v>600</v>
      </c>
      <c r="S69" s="182"/>
      <c r="T69" s="182"/>
      <c r="U69" s="182"/>
      <c r="V69" s="182"/>
      <c r="W69" s="32">
        <f t="shared" si="21"/>
        <v>700</v>
      </c>
      <c r="X69" s="210">
        <v>100</v>
      </c>
      <c r="Y69" s="211"/>
      <c r="Z69" s="211">
        <f>SUM(X69:Y69)</f>
        <v>100</v>
      </c>
      <c r="AA69" s="189">
        <f>Z69/W69</f>
        <v>0.14285714285714285</v>
      </c>
      <c r="AB69" s="63">
        <v>0</v>
      </c>
      <c r="AC69" s="184"/>
      <c r="AD69" s="188"/>
      <c r="AE69" s="199">
        <f>W69-Z69</f>
        <v>600</v>
      </c>
      <c r="AF69" s="184"/>
      <c r="AG69" s="184"/>
      <c r="AH69" s="184"/>
      <c r="AI69" s="184"/>
      <c r="AJ69" s="184"/>
      <c r="AK69" s="184"/>
      <c r="AL69" s="184"/>
      <c r="AM69" s="184"/>
      <c r="AN69" s="173"/>
    </row>
    <row r="70" spans="1:40" ht="61.9" customHeight="1" x14ac:dyDescent="0.25">
      <c r="A70" s="30">
        <v>8</v>
      </c>
      <c r="B70" s="249" t="s">
        <v>163</v>
      </c>
      <c r="C70" s="223" t="s">
        <v>171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80"/>
      <c r="P70" s="35">
        <v>100</v>
      </c>
      <c r="Q70" s="181"/>
      <c r="R70" s="35">
        <v>450</v>
      </c>
      <c r="S70" s="181"/>
      <c r="T70" s="181"/>
      <c r="U70" s="181"/>
      <c r="V70" s="181"/>
      <c r="W70" s="32">
        <f t="shared" si="21"/>
        <v>550</v>
      </c>
      <c r="X70" s="210">
        <v>100</v>
      </c>
      <c r="Y70" s="213"/>
      <c r="Z70" s="211">
        <f>SUM(X70:Y70)</f>
        <v>100</v>
      </c>
      <c r="AA70" s="189">
        <f>Z70/W70</f>
        <v>0.18181818181818182</v>
      </c>
      <c r="AB70" s="63">
        <v>0</v>
      </c>
      <c r="AC70" s="179"/>
      <c r="AD70" s="188"/>
      <c r="AE70" s="202">
        <f>W70-Z70</f>
        <v>450</v>
      </c>
      <c r="AF70" s="179"/>
      <c r="AG70" s="179"/>
      <c r="AH70" s="179"/>
      <c r="AI70" s="179"/>
      <c r="AJ70" s="179"/>
      <c r="AK70" s="179"/>
      <c r="AL70" s="179"/>
      <c r="AM70" s="179"/>
      <c r="AN70" s="173"/>
    </row>
    <row r="71" spans="1:40" s="241" customFormat="1" ht="61.9" customHeight="1" x14ac:dyDescent="0.25">
      <c r="A71" s="227">
        <v>9</v>
      </c>
      <c r="B71" s="250" t="s">
        <v>189</v>
      </c>
      <c r="C71" s="228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30"/>
      <c r="P71" s="231"/>
      <c r="Q71" s="232"/>
      <c r="R71" s="231">
        <v>600</v>
      </c>
      <c r="S71" s="232"/>
      <c r="T71" s="232"/>
      <c r="U71" s="232"/>
      <c r="V71" s="232"/>
      <c r="W71" s="242">
        <f t="shared" si="21"/>
        <v>600</v>
      </c>
      <c r="X71" s="233"/>
      <c r="Y71" s="234"/>
      <c r="Z71" s="235"/>
      <c r="AA71" s="236"/>
      <c r="AB71" s="237"/>
      <c r="AC71" s="229"/>
      <c r="AD71" s="238"/>
      <c r="AE71" s="239"/>
      <c r="AF71" s="229"/>
      <c r="AG71" s="229"/>
      <c r="AH71" s="229"/>
      <c r="AI71" s="229"/>
      <c r="AJ71" s="229"/>
      <c r="AK71" s="229"/>
      <c r="AL71" s="229"/>
      <c r="AM71" s="229"/>
      <c r="AN71" s="240"/>
    </row>
    <row r="72" spans="1:40" s="241" customFormat="1" ht="61.9" customHeight="1" x14ac:dyDescent="0.25">
      <c r="A72" s="227">
        <v>10</v>
      </c>
      <c r="B72" s="250" t="s">
        <v>190</v>
      </c>
      <c r="C72" s="228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30"/>
      <c r="P72" s="231"/>
      <c r="Q72" s="232"/>
      <c r="R72" s="231">
        <v>800</v>
      </c>
      <c r="S72" s="232"/>
      <c r="T72" s="232"/>
      <c r="U72" s="232"/>
      <c r="V72" s="232"/>
      <c r="W72" s="242">
        <f t="shared" si="21"/>
        <v>800</v>
      </c>
      <c r="X72" s="233"/>
      <c r="Y72" s="234"/>
      <c r="Z72" s="235"/>
      <c r="AA72" s="236"/>
      <c r="AB72" s="237"/>
      <c r="AC72" s="229"/>
      <c r="AD72" s="238"/>
      <c r="AE72" s="239"/>
      <c r="AF72" s="229"/>
      <c r="AG72" s="229"/>
      <c r="AH72" s="229"/>
      <c r="AI72" s="229"/>
      <c r="AJ72" s="229"/>
      <c r="AK72" s="229"/>
      <c r="AL72" s="229"/>
      <c r="AM72" s="229"/>
      <c r="AN72" s="240"/>
    </row>
    <row r="73" spans="1:40" s="241" customFormat="1" ht="61.9" customHeight="1" x14ac:dyDescent="0.25">
      <c r="A73" s="227">
        <v>11</v>
      </c>
      <c r="B73" s="250" t="s">
        <v>191</v>
      </c>
      <c r="C73" s="228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30"/>
      <c r="P73" s="231"/>
      <c r="Q73" s="232"/>
      <c r="R73" s="231">
        <v>1000</v>
      </c>
      <c r="S73" s="232"/>
      <c r="T73" s="232"/>
      <c r="U73" s="232"/>
      <c r="V73" s="232"/>
      <c r="W73" s="242">
        <f t="shared" si="21"/>
        <v>1000</v>
      </c>
      <c r="X73" s="233"/>
      <c r="Y73" s="234"/>
      <c r="Z73" s="235"/>
      <c r="AA73" s="236"/>
      <c r="AB73" s="237"/>
      <c r="AC73" s="229"/>
      <c r="AD73" s="238"/>
      <c r="AE73" s="239"/>
      <c r="AF73" s="229"/>
      <c r="AG73" s="229"/>
      <c r="AH73" s="229"/>
      <c r="AI73" s="229"/>
      <c r="AJ73" s="229"/>
      <c r="AK73" s="229"/>
      <c r="AL73" s="229"/>
      <c r="AM73" s="229"/>
      <c r="AN73" s="240"/>
    </row>
    <row r="74" spans="1:40" ht="14.25" customHeight="1" x14ac:dyDescent="0.25">
      <c r="A74" s="179"/>
      <c r="B74" s="251"/>
      <c r="C74" s="226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213"/>
      <c r="Y74" s="213"/>
      <c r="Z74" s="213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 spans="1:40" ht="14.25" customHeight="1" x14ac:dyDescent="0.25"/>
    <row r="76" spans="1:40" ht="14.25" customHeight="1" x14ac:dyDescent="0.25"/>
    <row r="77" spans="1:40" ht="14.25" customHeight="1" x14ac:dyDescent="0.25"/>
    <row r="78" spans="1:40" ht="14.25" customHeight="1" x14ac:dyDescent="0.25">
      <c r="W78">
        <f>1233824-2400</f>
        <v>1231424</v>
      </c>
    </row>
    <row r="79" spans="1:40" ht="14.25" customHeight="1" x14ac:dyDescent="0.25"/>
    <row r="80" spans="1:4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</sheetData>
  <autoFilter ref="A10:AQ73" xr:uid="{00000000-0009-0000-0000-000002000000}"/>
  <mergeCells count="37"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</mergeCells>
  <pageMargins left="0.17" right="0.15748031496062992" top="0.41" bottom="0.23622047244094491" header="0" footer="0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985"/>
  <sheetViews>
    <sheetView tabSelected="1" view="pageBreakPreview" zoomScale="60" workbookViewId="0">
      <pane ySplit="10" topLeftCell="A11" activePane="bottomLeft" state="frozen"/>
      <selection pane="bottomLeft" activeCell="AR13" sqref="AR13:AR74"/>
    </sheetView>
  </sheetViews>
  <sheetFormatPr defaultColWidth="14.42578125" defaultRowHeight="15" customHeight="1" x14ac:dyDescent="0.25"/>
  <cols>
    <col min="1" max="1" width="4.28515625" customWidth="1"/>
    <col min="2" max="2" width="35.5703125" style="252" customWidth="1"/>
    <col min="3" max="3" width="9.42578125" style="224" customWidth="1"/>
    <col min="4" max="11" width="8.7109375" hidden="1" customWidth="1"/>
    <col min="12" max="12" width="12.140625" hidden="1" customWidth="1"/>
    <col min="13" max="13" width="10.7109375" hidden="1" customWidth="1"/>
    <col min="14" max="14" width="10.7109375" style="268" customWidth="1"/>
    <col min="15" max="15" width="13.140625" customWidth="1"/>
    <col min="16" max="16" width="10.7109375" customWidth="1"/>
    <col min="17" max="17" width="10.5703125" customWidth="1"/>
    <col min="18" max="18" width="9.7109375" customWidth="1"/>
    <col min="19" max="19" width="17.28515625" customWidth="1"/>
    <col min="20" max="20" width="16.28515625" customWidth="1"/>
    <col min="21" max="21" width="10.28515625" customWidth="1"/>
    <col min="22" max="22" width="13.7109375" customWidth="1"/>
    <col min="23" max="23" width="10.5703125" customWidth="1"/>
    <col min="24" max="24" width="10" style="214" customWidth="1"/>
    <col min="25" max="26" width="11.28515625" style="214" customWidth="1"/>
    <col min="27" max="27" width="10.7109375" style="214" customWidth="1"/>
    <col min="28" max="28" width="11.28515625" customWidth="1"/>
    <col min="29" max="29" width="10.7109375" customWidth="1"/>
    <col min="30" max="30" width="9.7109375" style="102" customWidth="1"/>
    <col min="31" max="31" width="9.28515625" style="102" customWidth="1"/>
    <col min="32" max="32" width="10" style="102" customWidth="1"/>
    <col min="33" max="34" width="17.28515625" style="102" customWidth="1"/>
    <col min="35" max="35" width="9.5703125" customWidth="1"/>
    <col min="36" max="37" width="14.7109375" customWidth="1"/>
    <col min="38" max="38" width="15.7109375" customWidth="1"/>
    <col min="39" max="39" width="11.42578125" customWidth="1"/>
    <col min="40" max="40" width="12.140625" customWidth="1"/>
    <col min="41" max="41" width="17.5703125" customWidth="1"/>
    <col min="42" max="42" width="12.28515625" customWidth="1"/>
    <col min="43" max="43" width="12.140625" customWidth="1"/>
    <col min="44" max="44" width="15" style="268" customWidth="1"/>
    <col min="45" max="45" width="13.140625" customWidth="1"/>
    <col min="46" max="48" width="0" hidden="1" customWidth="1"/>
    <col min="51" max="51" width="17.85546875" bestFit="1" customWidth="1"/>
  </cols>
  <sheetData>
    <row r="1" spans="1:51" ht="15.75" x14ac:dyDescent="0.25">
      <c r="A1" s="319" t="s">
        <v>206</v>
      </c>
      <c r="B1" s="320"/>
      <c r="C1" s="321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1"/>
      <c r="AA1" s="320"/>
      <c r="AB1" s="320"/>
      <c r="AC1" s="322"/>
      <c r="AD1" s="262"/>
      <c r="AE1" s="262"/>
      <c r="AF1" s="262"/>
      <c r="AG1" s="262"/>
      <c r="AH1" s="262"/>
      <c r="AI1" s="1"/>
      <c r="AJ1" s="2"/>
      <c r="AK1" s="2"/>
      <c r="AL1" s="2"/>
      <c r="AM1" s="3"/>
      <c r="AN1" s="3"/>
      <c r="AO1" s="3">
        <v>500</v>
      </c>
      <c r="AP1" s="3"/>
      <c r="AQ1" s="3"/>
      <c r="AR1" s="296" t="s">
        <v>227</v>
      </c>
      <c r="AS1" s="160"/>
    </row>
    <row r="2" spans="1:51" ht="16.899999999999999" customHeight="1" x14ac:dyDescent="0.25">
      <c r="A2" s="323" t="s">
        <v>143</v>
      </c>
      <c r="B2" s="320"/>
      <c r="C2" s="321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1"/>
      <c r="AA2" s="320"/>
      <c r="AB2" s="320"/>
      <c r="AC2" s="322"/>
      <c r="AD2" s="262"/>
      <c r="AE2" s="262"/>
      <c r="AF2" s="262"/>
      <c r="AG2" s="262"/>
      <c r="AH2" s="262"/>
      <c r="AI2" s="1"/>
      <c r="AJ2" s="2"/>
      <c r="AK2" s="2"/>
      <c r="AL2" s="2"/>
      <c r="AM2" s="3"/>
      <c r="AN2" s="3"/>
      <c r="AO2" s="3"/>
      <c r="AP2" s="3"/>
      <c r="AQ2" s="3"/>
      <c r="AR2" s="297"/>
      <c r="AS2" s="161"/>
    </row>
    <row r="3" spans="1:51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7"/>
      <c r="AB3" s="11"/>
      <c r="AC3" s="11"/>
      <c r="AD3" s="11"/>
      <c r="AE3" s="11"/>
      <c r="AF3" s="11"/>
      <c r="AG3" s="11"/>
      <c r="AH3" s="11"/>
      <c r="AI3" s="1"/>
      <c r="AJ3" s="2"/>
      <c r="AK3" s="2"/>
      <c r="AL3" s="2"/>
      <c r="AM3" s="3"/>
      <c r="AN3" s="3"/>
      <c r="AO3" s="3"/>
      <c r="AP3" s="3"/>
      <c r="AQ3" s="3"/>
      <c r="AR3" s="296"/>
      <c r="AS3" s="160"/>
    </row>
    <row r="4" spans="1:51" ht="20.25" customHeight="1" x14ac:dyDescent="0.3">
      <c r="A4" s="324" t="s">
        <v>144</v>
      </c>
      <c r="B4" s="320"/>
      <c r="C4" s="321"/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1"/>
      <c r="AA4" s="320"/>
      <c r="AB4" s="320"/>
      <c r="AC4" s="320"/>
      <c r="AD4" s="321"/>
      <c r="AE4" s="321"/>
      <c r="AF4" s="321"/>
      <c r="AG4" s="321"/>
      <c r="AH4" s="321"/>
      <c r="AI4" s="320"/>
      <c r="AJ4" s="320"/>
      <c r="AK4" s="321"/>
      <c r="AL4" s="321"/>
      <c r="AM4" s="320"/>
      <c r="AN4" s="321"/>
      <c r="AO4" s="321"/>
      <c r="AP4" s="320"/>
      <c r="AQ4" s="321"/>
      <c r="AR4" s="321"/>
      <c r="AS4" s="322"/>
    </row>
    <row r="5" spans="1:51" ht="17.25" x14ac:dyDescent="0.3">
      <c r="A5" s="325" t="s">
        <v>224</v>
      </c>
      <c r="B5" s="320"/>
      <c r="C5" s="321"/>
      <c r="D5" s="320"/>
      <c r="E5" s="320"/>
      <c r="F5" s="320"/>
      <c r="G5" s="320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1"/>
      <c r="AA5" s="320"/>
      <c r="AB5" s="320"/>
      <c r="AC5" s="320"/>
      <c r="AD5" s="321"/>
      <c r="AE5" s="321"/>
      <c r="AF5" s="321"/>
      <c r="AG5" s="321"/>
      <c r="AH5" s="321"/>
      <c r="AI5" s="320"/>
      <c r="AJ5" s="320"/>
      <c r="AK5" s="321"/>
      <c r="AL5" s="321"/>
      <c r="AM5" s="320"/>
      <c r="AN5" s="321"/>
      <c r="AO5" s="321"/>
      <c r="AP5" s="320"/>
      <c r="AQ5" s="321"/>
      <c r="AR5" s="321"/>
      <c r="AS5" s="322"/>
    </row>
    <row r="6" spans="1:51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17"/>
      <c r="AA6" s="203"/>
      <c r="AB6" s="16"/>
      <c r="AC6" s="11"/>
      <c r="AD6" s="11"/>
      <c r="AE6" s="11"/>
      <c r="AF6" s="304" t="s">
        <v>151</v>
      </c>
      <c r="AG6" s="304"/>
      <c r="AH6" s="304"/>
      <c r="AI6" s="304"/>
      <c r="AJ6" s="304"/>
      <c r="AK6" s="304"/>
      <c r="AL6" s="304"/>
      <c r="AM6" s="304"/>
      <c r="AN6" s="304"/>
      <c r="AO6" s="304"/>
      <c r="AP6" s="304"/>
      <c r="AQ6" s="304"/>
      <c r="AR6" s="304"/>
      <c r="AS6" s="304"/>
    </row>
    <row r="7" spans="1:51" ht="15" customHeight="1" x14ac:dyDescent="0.25">
      <c r="A7" s="305" t="s">
        <v>1</v>
      </c>
      <c r="B7" s="305" t="s">
        <v>2</v>
      </c>
      <c r="C7" s="308" t="s">
        <v>109</v>
      </c>
      <c r="D7" s="305" t="s">
        <v>3</v>
      </c>
      <c r="E7" s="305" t="s">
        <v>4</v>
      </c>
      <c r="F7" s="305" t="s">
        <v>5</v>
      </c>
      <c r="G7" s="305" t="s">
        <v>6</v>
      </c>
      <c r="H7" s="305" t="s">
        <v>7</v>
      </c>
      <c r="I7" s="305" t="s">
        <v>8</v>
      </c>
      <c r="J7" s="305" t="s">
        <v>9</v>
      </c>
      <c r="K7" s="305" t="s">
        <v>10</v>
      </c>
      <c r="L7" s="326" t="s">
        <v>11</v>
      </c>
      <c r="M7" s="305" t="s">
        <v>12</v>
      </c>
      <c r="N7" s="305" t="s">
        <v>140</v>
      </c>
      <c r="O7" s="328" t="s">
        <v>138</v>
      </c>
      <c r="P7" s="329"/>
      <c r="Q7" s="329"/>
      <c r="R7" s="329"/>
      <c r="S7" s="329"/>
      <c r="T7" s="329"/>
      <c r="U7" s="329"/>
      <c r="V7" s="330"/>
      <c r="W7" s="305" t="s">
        <v>202</v>
      </c>
      <c r="X7" s="309" t="s">
        <v>13</v>
      </c>
      <c r="Y7" s="309" t="s">
        <v>221</v>
      </c>
      <c r="Z7" s="316" t="s">
        <v>222</v>
      </c>
      <c r="AA7" s="310" t="s">
        <v>223</v>
      </c>
      <c r="AB7" s="305" t="s">
        <v>15</v>
      </c>
      <c r="AC7" s="305" t="s">
        <v>16</v>
      </c>
      <c r="AD7" s="312" t="s">
        <v>211</v>
      </c>
      <c r="AE7" s="312"/>
      <c r="AF7" s="312"/>
      <c r="AG7" s="313" t="s">
        <v>215</v>
      </c>
      <c r="AH7" s="313" t="s">
        <v>219</v>
      </c>
      <c r="AI7" s="311" t="s">
        <v>17</v>
      </c>
      <c r="AJ7" s="337" t="s">
        <v>107</v>
      </c>
      <c r="AK7" s="337" t="s">
        <v>108</v>
      </c>
      <c r="AL7" s="337" t="s">
        <v>106</v>
      </c>
      <c r="AM7" s="339" t="s">
        <v>147</v>
      </c>
      <c r="AN7" s="311" t="s">
        <v>136</v>
      </c>
      <c r="AO7" s="311" t="s">
        <v>137</v>
      </c>
      <c r="AP7" s="305" t="s">
        <v>135</v>
      </c>
      <c r="AQ7" s="305" t="s">
        <v>146</v>
      </c>
      <c r="AR7" s="305" t="s">
        <v>228</v>
      </c>
      <c r="AS7" s="305" t="s">
        <v>18</v>
      </c>
    </row>
    <row r="8" spans="1:51" x14ac:dyDescent="0.25">
      <c r="A8" s="306"/>
      <c r="B8" s="307"/>
      <c r="C8" s="308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27"/>
      <c r="O8" s="331"/>
      <c r="P8" s="332"/>
      <c r="Q8" s="332"/>
      <c r="R8" s="332"/>
      <c r="S8" s="332"/>
      <c r="T8" s="332"/>
      <c r="U8" s="332"/>
      <c r="V8" s="333"/>
      <c r="W8" s="306"/>
      <c r="X8" s="306"/>
      <c r="Y8" s="306"/>
      <c r="Z8" s="317"/>
      <c r="AA8" s="306"/>
      <c r="AB8" s="306"/>
      <c r="AC8" s="306"/>
      <c r="AD8" s="312"/>
      <c r="AE8" s="312"/>
      <c r="AF8" s="312"/>
      <c r="AG8" s="314"/>
      <c r="AH8" s="314"/>
      <c r="AI8" s="306"/>
      <c r="AJ8" s="338"/>
      <c r="AK8" s="338"/>
      <c r="AL8" s="339"/>
      <c r="AM8" s="338"/>
      <c r="AN8" s="306"/>
      <c r="AO8" s="311"/>
      <c r="AP8" s="306"/>
      <c r="AQ8" s="305"/>
      <c r="AR8" s="305"/>
      <c r="AS8" s="327"/>
    </row>
    <row r="9" spans="1:51" ht="104.45" customHeight="1" x14ac:dyDescent="0.25">
      <c r="A9" s="306"/>
      <c r="B9" s="307"/>
      <c r="C9" s="308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27"/>
      <c r="O9" s="334"/>
      <c r="P9" s="335"/>
      <c r="Q9" s="335"/>
      <c r="R9" s="335"/>
      <c r="S9" s="335"/>
      <c r="T9" s="335"/>
      <c r="U9" s="335"/>
      <c r="V9" s="336"/>
      <c r="W9" s="306"/>
      <c r="X9" s="306"/>
      <c r="Y9" s="306"/>
      <c r="Z9" s="318"/>
      <c r="AA9" s="306"/>
      <c r="AB9" s="306"/>
      <c r="AC9" s="306"/>
      <c r="AD9" s="265" t="s">
        <v>212</v>
      </c>
      <c r="AE9" s="265" t="s">
        <v>214</v>
      </c>
      <c r="AF9" s="265" t="s">
        <v>213</v>
      </c>
      <c r="AG9" s="315"/>
      <c r="AH9" s="315"/>
      <c r="AI9" s="306"/>
      <c r="AJ9" s="338"/>
      <c r="AK9" s="338"/>
      <c r="AL9" s="339"/>
      <c r="AM9" s="338"/>
      <c r="AN9" s="306"/>
      <c r="AO9" s="311"/>
      <c r="AP9" s="306"/>
      <c r="AQ9" s="305"/>
      <c r="AR9" s="305"/>
      <c r="AS9" s="327"/>
      <c r="AT9">
        <f>AA12/W12</f>
        <v>0.7450786614439131</v>
      </c>
      <c r="AV9">
        <v>27</v>
      </c>
    </row>
    <row r="10" spans="1:51" ht="3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 t="s">
        <v>210</v>
      </c>
      <c r="U10" s="129" t="s">
        <v>209</v>
      </c>
      <c r="V10" s="129" t="s">
        <v>236</v>
      </c>
      <c r="W10" s="28">
        <v>5</v>
      </c>
      <c r="X10" s="204"/>
      <c r="Y10" s="204"/>
      <c r="Z10" s="204"/>
      <c r="AA10" s="204">
        <v>6</v>
      </c>
      <c r="AB10" s="28">
        <v>7</v>
      </c>
      <c r="AC10" s="28">
        <v>8</v>
      </c>
      <c r="AD10" s="263">
        <v>9</v>
      </c>
      <c r="AE10" s="263">
        <v>10</v>
      </c>
      <c r="AF10" s="263">
        <v>11</v>
      </c>
      <c r="AG10" s="263"/>
      <c r="AH10" s="263"/>
      <c r="AI10" s="243">
        <v>12</v>
      </c>
      <c r="AJ10" s="28"/>
      <c r="AK10" s="28"/>
      <c r="AL10" s="28"/>
      <c r="AM10" s="158"/>
      <c r="AN10" s="28"/>
      <c r="AO10" s="28"/>
      <c r="AP10" s="28"/>
      <c r="AQ10" s="28"/>
      <c r="AS10" s="28">
        <v>13</v>
      </c>
      <c r="AV10">
        <v>1</v>
      </c>
    </row>
    <row r="11" spans="1:51" ht="22.15" hidden="1" customHeight="1" x14ac:dyDescent="0.25">
      <c r="A11" s="28"/>
      <c r="B11" s="283" t="s">
        <v>225</v>
      </c>
      <c r="C11" s="103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8">
        <f>N12</f>
        <v>890720</v>
      </c>
      <c r="O11" s="289"/>
      <c r="P11" s="290"/>
      <c r="Q11" s="290"/>
      <c r="R11" s="290"/>
      <c r="S11" s="290"/>
      <c r="T11" s="290"/>
      <c r="U11" s="290"/>
      <c r="V11" s="290"/>
      <c r="W11" s="288">
        <f>W12+39020</f>
        <v>1007347</v>
      </c>
      <c r="X11" s="291"/>
      <c r="Y11" s="291"/>
      <c r="Z11" s="291"/>
      <c r="AA11" s="292">
        <f>AA12</f>
        <v>721479.78500000003</v>
      </c>
      <c r="AB11" s="293">
        <f>AA11/W11</f>
        <v>0.71621773331334693</v>
      </c>
      <c r="AC11" s="294">
        <f>AC12</f>
        <v>0.80999616602299263</v>
      </c>
      <c r="AD11" s="295">
        <f>AD12</f>
        <v>57013</v>
      </c>
      <c r="AE11" s="295">
        <f>AE12</f>
        <v>67533.5</v>
      </c>
      <c r="AF11" s="295">
        <f>AF12</f>
        <v>-10520.5</v>
      </c>
      <c r="AG11" s="284"/>
      <c r="AH11" s="284"/>
      <c r="AI11" s="285"/>
      <c r="AJ11" s="282"/>
      <c r="AK11" s="282"/>
      <c r="AL11" s="282"/>
      <c r="AM11" s="286"/>
      <c r="AN11" s="282"/>
      <c r="AO11" s="282"/>
      <c r="AP11" s="282"/>
      <c r="AQ11" s="282"/>
      <c r="AR11" s="298"/>
      <c r="AS11" s="282"/>
    </row>
    <row r="12" spans="1:51" s="102" customFormat="1" ht="45" customHeight="1" x14ac:dyDescent="0.25">
      <c r="A12" s="96"/>
      <c r="B12" s="283" t="s">
        <v>226</v>
      </c>
      <c r="C12" s="104"/>
      <c r="D12" s="98">
        <f t="shared" ref="D12:L12" si="0">SUM(D13:D67)</f>
        <v>10200</v>
      </c>
      <c r="E12" s="98">
        <f t="shared" si="0"/>
        <v>54700</v>
      </c>
      <c r="F12" s="98">
        <f t="shared" si="0"/>
        <v>87820</v>
      </c>
      <c r="G12" s="98">
        <f t="shared" si="0"/>
        <v>12200</v>
      </c>
      <c r="H12" s="98">
        <f t="shared" si="0"/>
        <v>9873</v>
      </c>
      <c r="I12" s="98">
        <f t="shared" si="0"/>
        <v>5000</v>
      </c>
      <c r="J12" s="98">
        <f t="shared" si="0"/>
        <v>15418</v>
      </c>
      <c r="K12" s="98">
        <f t="shared" si="0"/>
        <v>1052076</v>
      </c>
      <c r="L12" s="99">
        <f t="shared" si="0"/>
        <v>70670</v>
      </c>
      <c r="M12" s="98">
        <f>SUBTOTAL(9,M13:M67)</f>
        <v>997557.30800000019</v>
      </c>
      <c r="N12" s="266">
        <f>SUBTOTAL(9,N13:N74)</f>
        <v>890720</v>
      </c>
      <c r="O12" s="98">
        <f t="shared" ref="O12:Y12" si="1">SUBTOTAL(9,O13:O74)</f>
        <v>1230191</v>
      </c>
      <c r="P12" s="98">
        <f t="shared" si="1"/>
        <v>800</v>
      </c>
      <c r="Q12" s="98">
        <f t="shared" si="1"/>
        <v>-4562</v>
      </c>
      <c r="R12" s="98">
        <f t="shared" si="1"/>
        <v>7629</v>
      </c>
      <c r="S12" s="98">
        <f>SUBTOTAL(9,S13:S74)</f>
        <v>0</v>
      </c>
      <c r="T12" s="98">
        <f>SUBTOTAL(9,T13:T74)</f>
        <v>0</v>
      </c>
      <c r="U12" s="98">
        <f t="shared" si="1"/>
        <v>-226711</v>
      </c>
      <c r="V12" s="98">
        <f t="shared" si="1"/>
        <v>-39000</v>
      </c>
      <c r="W12" s="98">
        <f>SUBTOTAL(9,W13:W74)-20</f>
        <v>968327</v>
      </c>
      <c r="X12" s="98">
        <v>662170.60699999996</v>
      </c>
      <c r="Y12" s="98">
        <f t="shared" si="1"/>
        <v>14683.5</v>
      </c>
      <c r="Z12" s="98">
        <f>SUBTOTAL(9,Z13:Z74)</f>
        <v>44597.8</v>
      </c>
      <c r="AA12" s="98">
        <f>SUBTOTAL(9,AA13:AA74)</f>
        <v>721479.78500000003</v>
      </c>
      <c r="AB12" s="101">
        <f>AA12/W12</f>
        <v>0.7450786614439131</v>
      </c>
      <c r="AC12" s="101">
        <f>AA12/N12</f>
        <v>0.80999616602299263</v>
      </c>
      <c r="AD12" s="115">
        <f>SUM(AD13:AD74)</f>
        <v>57013</v>
      </c>
      <c r="AE12" s="115">
        <f>SUM(AE13:AE74)</f>
        <v>67533.5</v>
      </c>
      <c r="AF12" s="115">
        <f>AD12-AE12</f>
        <v>-10520.5</v>
      </c>
      <c r="AG12" s="115"/>
      <c r="AH12" s="115">
        <f>SUM(AH13:AH57)</f>
        <v>14043</v>
      </c>
      <c r="AI12" s="98">
        <f>W12-AA12</f>
        <v>246847.21499999997</v>
      </c>
      <c r="AJ12" s="98">
        <f>X12-AB12</f>
        <v>662169.86192133848</v>
      </c>
      <c r="AK12" s="98">
        <f>Y12-AC12</f>
        <v>14682.690003833977</v>
      </c>
      <c r="AL12" s="98">
        <f>AA12-AD12</f>
        <v>664466.78500000003</v>
      </c>
      <c r="AM12" s="159">
        <f>SUM(AM13:AM67)</f>
        <v>324760</v>
      </c>
      <c r="AN12" s="125">
        <f t="shared" ref="AN12:AN22" si="2">W12-AA12-AM12</f>
        <v>-77912.785000000033</v>
      </c>
      <c r="AO12" s="126">
        <f>(AA12+AM12)/W12</f>
        <v>1.0804612336535075</v>
      </c>
      <c r="AP12" s="101"/>
      <c r="AQ12" s="115">
        <f>SUM(AQ13:AQ67)</f>
        <v>223229.20300000004</v>
      </c>
      <c r="AR12" s="136"/>
      <c r="AS12" s="175" t="s">
        <v>141</v>
      </c>
      <c r="AT12" s="117">
        <f>W12-AA12</f>
        <v>246847.21499999997</v>
      </c>
      <c r="AU12" s="119">
        <f>AA12+AD12</f>
        <v>778492.78500000003</v>
      </c>
      <c r="AW12" s="119">
        <f>W12*3%</f>
        <v>29049.809999999998</v>
      </c>
      <c r="AY12" s="119">
        <f>W12*70%</f>
        <v>677828.89999999991</v>
      </c>
    </row>
    <row r="13" spans="1:51" ht="34.5" customHeight="1" x14ac:dyDescent="0.25">
      <c r="A13" s="51" t="s">
        <v>24</v>
      </c>
      <c r="B13" s="225" t="s">
        <v>181</v>
      </c>
      <c r="C13" s="218"/>
      <c r="D13" s="53"/>
      <c r="E13" s="53"/>
      <c r="F13" s="53"/>
      <c r="G13" s="53"/>
      <c r="H13" s="53"/>
      <c r="I13" s="53"/>
      <c r="J13" s="53"/>
      <c r="K13" s="53"/>
      <c r="L13" s="33"/>
      <c r="M13" s="34">
        <v>0</v>
      </c>
      <c r="N13" s="153"/>
      <c r="O13" s="54"/>
      <c r="P13" s="36"/>
      <c r="Q13" s="36"/>
      <c r="R13" s="36"/>
      <c r="S13" s="37"/>
      <c r="T13" s="36"/>
      <c r="U13" s="36"/>
      <c r="V13" s="36"/>
      <c r="W13" s="32">
        <f>S13+T13+U13+V13</f>
        <v>0</v>
      </c>
      <c r="X13" s="207">
        <v>0</v>
      </c>
      <c r="Y13" s="208"/>
      <c r="Z13" s="208"/>
      <c r="AA13" s="209">
        <f>SUM(X13:Z13)</f>
        <v>0</v>
      </c>
      <c r="AB13" s="39"/>
      <c r="AC13" s="56"/>
      <c r="AD13" s="56"/>
      <c r="AE13" s="177"/>
      <c r="AF13" s="56"/>
      <c r="AG13" s="56"/>
      <c r="AH13" s="56"/>
      <c r="AI13" s="33"/>
      <c r="AJ13" s="57"/>
      <c r="AK13" s="57"/>
      <c r="AL13" s="41">
        <f t="shared" ref="AL13:AL67" si="3">AI13-AJ13</f>
        <v>0</v>
      </c>
      <c r="AM13" s="58"/>
      <c r="AN13" s="125">
        <f t="shared" si="2"/>
        <v>0</v>
      </c>
      <c r="AO13" s="126"/>
      <c r="AP13" s="58"/>
      <c r="AQ13" s="156"/>
      <c r="AR13" s="136"/>
      <c r="AS13" s="162"/>
      <c r="AT13" s="19">
        <f>AA12+AM12</f>
        <v>1046239.785</v>
      </c>
      <c r="AW13" s="19">
        <f>AW12-N12</f>
        <v>-861670.19</v>
      </c>
      <c r="AY13" s="19">
        <f>AY12-AA12</f>
        <v>-43650.885000000126</v>
      </c>
    </row>
    <row r="14" spans="1:51" ht="41.45" customHeight="1" x14ac:dyDescent="0.25">
      <c r="A14" s="30">
        <v>1</v>
      </c>
      <c r="B14" s="31" t="s">
        <v>26</v>
      </c>
      <c r="C14" s="219" t="s">
        <v>110</v>
      </c>
      <c r="D14" s="59">
        <v>10000</v>
      </c>
      <c r="E14" s="59">
        <v>40000</v>
      </c>
      <c r="F14" s="59">
        <v>21000</v>
      </c>
      <c r="G14" s="59">
        <v>9000</v>
      </c>
      <c r="H14" s="59">
        <v>1810</v>
      </c>
      <c r="I14" s="59">
        <v>4000</v>
      </c>
      <c r="J14" s="59">
        <v>1774</v>
      </c>
      <c r="K14" s="59"/>
      <c r="L14" s="33">
        <v>70670</v>
      </c>
      <c r="M14" s="34">
        <v>0</v>
      </c>
      <c r="N14" s="59">
        <v>0</v>
      </c>
      <c r="O14" s="35">
        <v>60050</v>
      </c>
      <c r="P14" s="35"/>
      <c r="Q14" s="35"/>
      <c r="R14" s="35"/>
      <c r="S14" s="60"/>
      <c r="T14" s="35"/>
      <c r="U14" s="61">
        <v>-60050</v>
      </c>
      <c r="V14" s="62"/>
      <c r="W14" s="32">
        <f>SUM(O14:V14)</f>
        <v>0</v>
      </c>
      <c r="X14" s="210">
        <v>0</v>
      </c>
      <c r="Y14" s="210"/>
      <c r="Z14" s="210"/>
      <c r="AA14" s="209">
        <f t="shared" ref="AA14:AA74" si="4">SUM(X14:Z14)</f>
        <v>0</v>
      </c>
      <c r="AB14" s="154">
        <v>0</v>
      </c>
      <c r="AC14" s="63">
        <v>0</v>
      </c>
      <c r="AD14" s="270"/>
      <c r="AE14" s="177">
        <v>0</v>
      </c>
      <c r="AF14" s="270">
        <f>AD14-AE14</f>
        <v>0</v>
      </c>
      <c r="AG14" s="270"/>
      <c r="AH14" s="270"/>
      <c r="AI14" s="33">
        <f>W14-AA14</f>
        <v>0</v>
      </c>
      <c r="AJ14" s="64"/>
      <c r="AK14" s="64"/>
      <c r="AL14" s="41">
        <f t="shared" si="3"/>
        <v>0</v>
      </c>
      <c r="AM14" s="65"/>
      <c r="AN14" s="125">
        <f t="shared" si="2"/>
        <v>0</v>
      </c>
      <c r="AO14" s="126" t="e">
        <f>(AA14+AM14)/W14</f>
        <v>#DIV/0!</v>
      </c>
      <c r="AP14" s="66"/>
      <c r="AQ14" s="77">
        <f>W14-AA14</f>
        <v>0</v>
      </c>
      <c r="AR14" s="299" t="s">
        <v>229</v>
      </c>
      <c r="AS14" s="141" t="s">
        <v>27</v>
      </c>
      <c r="AT14" s="120">
        <f>AA12/W12</f>
        <v>0.7450786614439131</v>
      </c>
      <c r="AV14">
        <v>2</v>
      </c>
      <c r="AW14" s="19"/>
      <c r="AX14">
        <v>12605</v>
      </c>
    </row>
    <row r="15" spans="1:51" ht="47.25" x14ac:dyDescent="0.25">
      <c r="A15" s="30">
        <v>2</v>
      </c>
      <c r="B15" s="31" t="s">
        <v>28</v>
      </c>
      <c r="C15" s="219" t="s">
        <v>111</v>
      </c>
      <c r="D15" s="59">
        <v>200</v>
      </c>
      <c r="E15" s="59">
        <v>1000</v>
      </c>
      <c r="F15" s="59">
        <v>60000</v>
      </c>
      <c r="G15" s="59">
        <v>3200</v>
      </c>
      <c r="H15" s="59">
        <v>4000</v>
      </c>
      <c r="I15" s="59">
        <v>1000</v>
      </c>
      <c r="J15" s="59"/>
      <c r="K15" s="59"/>
      <c r="L15" s="33"/>
      <c r="M15" s="34">
        <v>0</v>
      </c>
      <c r="N15" s="59">
        <v>0</v>
      </c>
      <c r="O15" s="35">
        <v>39020</v>
      </c>
      <c r="P15" s="35"/>
      <c r="Q15" s="35"/>
      <c r="R15" s="35"/>
      <c r="S15" s="60"/>
      <c r="T15" s="35"/>
      <c r="U15" s="61">
        <v>-39020</v>
      </c>
      <c r="V15" s="35"/>
      <c r="W15" s="32">
        <f>SUM(O15:V15)</f>
        <v>0</v>
      </c>
      <c r="X15" s="210">
        <v>0</v>
      </c>
      <c r="Y15" s="210"/>
      <c r="Z15" s="210"/>
      <c r="AA15" s="209">
        <f t="shared" si="4"/>
        <v>0</v>
      </c>
      <c r="AB15" s="154">
        <v>0</v>
      </c>
      <c r="AC15" s="63">
        <f>0%</f>
        <v>0</v>
      </c>
      <c r="AD15" s="270"/>
      <c r="AE15" s="177">
        <v>0</v>
      </c>
      <c r="AF15" s="270">
        <f t="shared" ref="AF15:AF74" si="5">AD15-AE15</f>
        <v>0</v>
      </c>
      <c r="AG15" s="270"/>
      <c r="AH15" s="270"/>
      <c r="AI15" s="33">
        <f>W15-AA15</f>
        <v>0</v>
      </c>
      <c r="AJ15" s="64"/>
      <c r="AK15" s="64"/>
      <c r="AL15" s="41">
        <f t="shared" si="3"/>
        <v>0</v>
      </c>
      <c r="AM15" s="67"/>
      <c r="AN15" s="125">
        <f t="shared" si="2"/>
        <v>0</v>
      </c>
      <c r="AO15" s="127">
        <v>0</v>
      </c>
      <c r="AP15" s="67"/>
      <c r="AQ15" s="77">
        <f>W15-AA15</f>
        <v>0</v>
      </c>
      <c r="AR15" s="299" t="s">
        <v>229</v>
      </c>
      <c r="AS15" s="141" t="s">
        <v>29</v>
      </c>
      <c r="AV15">
        <v>28</v>
      </c>
      <c r="AX15">
        <v>779163</v>
      </c>
    </row>
    <row r="16" spans="1:51" ht="22.15" customHeight="1" x14ac:dyDescent="0.25">
      <c r="A16" s="68" t="s">
        <v>30</v>
      </c>
      <c r="B16" s="225" t="s">
        <v>179</v>
      </c>
      <c r="C16" s="220"/>
      <c r="D16" s="54"/>
      <c r="E16" s="54"/>
      <c r="F16" s="54"/>
      <c r="G16" s="54"/>
      <c r="H16" s="54"/>
      <c r="I16" s="54"/>
      <c r="J16" s="54"/>
      <c r="K16" s="54"/>
      <c r="L16" s="33"/>
      <c r="M16" s="34">
        <v>0</v>
      </c>
      <c r="N16" s="54"/>
      <c r="O16" s="54"/>
      <c r="P16" s="35"/>
      <c r="Q16" s="35"/>
      <c r="R16" s="35"/>
      <c r="S16" s="60"/>
      <c r="T16" s="35"/>
      <c r="U16" s="35"/>
      <c r="V16" s="35"/>
      <c r="W16" s="32">
        <f t="shared" ref="W16:W75" si="6">SUM(O16:V16)</f>
        <v>0</v>
      </c>
      <c r="X16" s="210">
        <v>0</v>
      </c>
      <c r="Y16" s="210"/>
      <c r="Z16" s="210"/>
      <c r="AA16" s="209">
        <f t="shared" si="4"/>
        <v>0</v>
      </c>
      <c r="AB16" s="154"/>
      <c r="AC16" s="63"/>
      <c r="AD16" s="270"/>
      <c r="AE16" s="177"/>
      <c r="AF16" s="270">
        <f t="shared" si="5"/>
        <v>0</v>
      </c>
      <c r="AG16" s="270"/>
      <c r="AH16" s="270"/>
      <c r="AI16" s="33">
        <f>W16-AA16</f>
        <v>0</v>
      </c>
      <c r="AJ16" s="64"/>
      <c r="AK16" s="64"/>
      <c r="AL16" s="41">
        <f t="shared" si="3"/>
        <v>0</v>
      </c>
      <c r="AM16" s="67"/>
      <c r="AN16" s="125">
        <f t="shared" si="2"/>
        <v>0</v>
      </c>
      <c r="AO16" s="126"/>
      <c r="AP16" s="67"/>
      <c r="AQ16" s="64"/>
      <c r="AR16" s="54"/>
      <c r="AS16" s="164"/>
      <c r="AV16">
        <v>1</v>
      </c>
      <c r="AX16">
        <v>64931</v>
      </c>
    </row>
    <row r="17" spans="1:51" ht="52.5" customHeight="1" x14ac:dyDescent="0.25">
      <c r="A17" s="30">
        <v>3</v>
      </c>
      <c r="B17" s="31" t="s">
        <v>38</v>
      </c>
      <c r="C17" s="221" t="s">
        <v>113</v>
      </c>
      <c r="D17" s="59"/>
      <c r="E17" s="59"/>
      <c r="F17" s="59"/>
      <c r="G17" s="59"/>
      <c r="H17" s="59"/>
      <c r="I17" s="59"/>
      <c r="J17" s="59">
        <v>500</v>
      </c>
      <c r="K17" s="59">
        <v>1302</v>
      </c>
      <c r="L17" s="33"/>
      <c r="M17" s="34">
        <v>1301.9340000000002</v>
      </c>
      <c r="N17" s="59">
        <v>0</v>
      </c>
      <c r="O17" s="35">
        <v>1000</v>
      </c>
      <c r="P17" s="35"/>
      <c r="Q17" s="35"/>
      <c r="R17" s="35"/>
      <c r="S17" s="35">
        <v>-1000</v>
      </c>
      <c r="T17" s="35"/>
      <c r="U17" s="35"/>
      <c r="V17" s="35"/>
      <c r="W17" s="32">
        <f>SUM(O17:V17)</f>
        <v>0</v>
      </c>
      <c r="X17" s="210">
        <v>0</v>
      </c>
      <c r="Y17" s="210"/>
      <c r="Z17" s="210"/>
      <c r="AA17" s="209">
        <f t="shared" si="4"/>
        <v>0</v>
      </c>
      <c r="AB17" s="63">
        <f>0</f>
        <v>0</v>
      </c>
      <c r="AC17" s="63">
        <f>0%</f>
        <v>0</v>
      </c>
      <c r="AD17" s="270"/>
      <c r="AE17" s="177"/>
      <c r="AF17" s="270">
        <f t="shared" si="5"/>
        <v>0</v>
      </c>
      <c r="AG17" s="270"/>
      <c r="AH17" s="270"/>
      <c r="AI17" s="33">
        <f>W17-AA17</f>
        <v>0</v>
      </c>
      <c r="AJ17" s="64"/>
      <c r="AK17" s="64"/>
      <c r="AL17" s="41">
        <f t="shared" si="3"/>
        <v>0</v>
      </c>
      <c r="AM17" s="67"/>
      <c r="AN17" s="125">
        <f t="shared" si="2"/>
        <v>0</v>
      </c>
      <c r="AO17" s="126" t="e">
        <f>(AA17+AM17)/W17</f>
        <v>#DIV/0!</v>
      </c>
      <c r="AP17" s="67"/>
      <c r="AQ17" s="64">
        <f t="shared" ref="AQ17" si="7">W17-AA17</f>
        <v>0</v>
      </c>
      <c r="AR17" s="300" t="s">
        <v>230</v>
      </c>
      <c r="AS17" s="144" t="s">
        <v>39</v>
      </c>
    </row>
    <row r="18" spans="1:51" ht="22.5" customHeight="1" x14ac:dyDescent="0.25">
      <c r="A18" s="51" t="s">
        <v>44</v>
      </c>
      <c r="B18" s="225" t="s">
        <v>180</v>
      </c>
      <c r="C18" s="221"/>
      <c r="D18" s="59"/>
      <c r="E18" s="59"/>
      <c r="F18" s="59"/>
      <c r="G18" s="59"/>
      <c r="H18" s="59"/>
      <c r="I18" s="59"/>
      <c r="J18" s="59"/>
      <c r="K18" s="59"/>
      <c r="L18" s="33"/>
      <c r="M18" s="33"/>
      <c r="N18" s="59"/>
      <c r="O18" s="60"/>
      <c r="P18" s="35"/>
      <c r="Q18" s="35"/>
      <c r="R18" s="35"/>
      <c r="S18" s="60"/>
      <c r="T18" s="35"/>
      <c r="U18" s="35"/>
      <c r="V18" s="35"/>
      <c r="W18" s="32"/>
      <c r="X18" s="210"/>
      <c r="Y18" s="210"/>
      <c r="Z18" s="210"/>
      <c r="AA18" s="209">
        <f t="shared" si="4"/>
        <v>0</v>
      </c>
      <c r="AB18" s="63"/>
      <c r="AC18" s="63"/>
      <c r="AD18" s="270"/>
      <c r="AE18" s="177"/>
      <c r="AF18" s="270">
        <f t="shared" si="5"/>
        <v>0</v>
      </c>
      <c r="AG18" s="270"/>
      <c r="AH18" s="270"/>
      <c r="AI18" s="33"/>
      <c r="AJ18" s="64"/>
      <c r="AK18" s="64"/>
      <c r="AL18" s="41">
        <f t="shared" si="3"/>
        <v>0</v>
      </c>
      <c r="AM18" s="67"/>
      <c r="AN18" s="125">
        <f t="shared" si="2"/>
        <v>0</v>
      </c>
      <c r="AO18" s="126"/>
      <c r="AP18" s="67"/>
      <c r="AQ18" s="64"/>
      <c r="AR18" s="129"/>
      <c r="AS18" s="165"/>
    </row>
    <row r="19" spans="1:51" ht="36.6" customHeight="1" x14ac:dyDescent="0.25">
      <c r="A19" s="30">
        <v>4</v>
      </c>
      <c r="B19" s="31" t="s">
        <v>59</v>
      </c>
      <c r="C19" s="221" t="s">
        <v>127</v>
      </c>
      <c r="D19" s="59"/>
      <c r="E19" s="59"/>
      <c r="F19" s="59"/>
      <c r="G19" s="59"/>
      <c r="H19" s="59"/>
      <c r="I19" s="59"/>
      <c r="J19" s="59">
        <v>50</v>
      </c>
      <c r="K19" s="59">
        <v>800</v>
      </c>
      <c r="L19" s="33"/>
      <c r="M19" s="34">
        <v>794.4</v>
      </c>
      <c r="N19" s="59">
        <v>50</v>
      </c>
      <c r="O19" s="35">
        <v>20</v>
      </c>
      <c r="P19" s="35"/>
      <c r="Q19" s="35"/>
      <c r="R19" s="35"/>
      <c r="S19" s="35">
        <v>30</v>
      </c>
      <c r="T19" s="35"/>
      <c r="U19" s="61"/>
      <c r="V19" s="62"/>
      <c r="W19" s="32">
        <f t="shared" si="6"/>
        <v>50</v>
      </c>
      <c r="X19" s="210">
        <v>0</v>
      </c>
      <c r="Y19" s="210">
        <v>50</v>
      </c>
      <c r="Z19" s="210"/>
      <c r="AA19" s="209">
        <f t="shared" si="4"/>
        <v>50</v>
      </c>
      <c r="AB19" s="63">
        <f t="shared" ref="AB19:AB22" si="8">AA19/W19</f>
        <v>1</v>
      </c>
      <c r="AC19" s="63">
        <f t="shared" ref="AC19" si="9">AA19/N19</f>
        <v>1</v>
      </c>
      <c r="AD19" s="270"/>
      <c r="AE19" s="177">
        <v>50</v>
      </c>
      <c r="AF19" s="270">
        <f t="shared" si="5"/>
        <v>-50</v>
      </c>
      <c r="AG19" s="270" t="s">
        <v>216</v>
      </c>
      <c r="AH19" s="270">
        <v>50</v>
      </c>
      <c r="AI19" s="33">
        <f t="shared" ref="AI19:AI50" si="10">W19-AA19</f>
        <v>0</v>
      </c>
      <c r="AJ19" s="64"/>
      <c r="AK19" s="64"/>
      <c r="AL19" s="41">
        <f t="shared" si="3"/>
        <v>0</v>
      </c>
      <c r="AM19" s="65"/>
      <c r="AN19" s="125">
        <f t="shared" si="2"/>
        <v>0</v>
      </c>
      <c r="AO19" s="126">
        <f>(AA19+AM19)/W19</f>
        <v>1</v>
      </c>
      <c r="AP19" s="121"/>
      <c r="AQ19" s="157">
        <f>W19-AA19</f>
        <v>0</v>
      </c>
      <c r="AR19" s="301" t="s">
        <v>231</v>
      </c>
      <c r="AS19" s="166"/>
    </row>
    <row r="20" spans="1:51" ht="53.25" customHeight="1" x14ac:dyDescent="0.25">
      <c r="A20" s="30">
        <v>5</v>
      </c>
      <c r="B20" s="31" t="s">
        <v>60</v>
      </c>
      <c r="C20" s="221" t="s">
        <v>128</v>
      </c>
      <c r="D20" s="59"/>
      <c r="E20" s="59"/>
      <c r="F20" s="59"/>
      <c r="G20" s="59"/>
      <c r="H20" s="59"/>
      <c r="I20" s="59"/>
      <c r="J20" s="59"/>
      <c r="K20" s="59">
        <v>970357</v>
      </c>
      <c r="L20" s="33"/>
      <c r="M20" s="34">
        <v>960094.85</v>
      </c>
      <c r="N20" s="59">
        <v>7000</v>
      </c>
      <c r="O20" s="35">
        <v>61243</v>
      </c>
      <c r="P20" s="35"/>
      <c r="Q20" s="35"/>
      <c r="R20" s="35"/>
      <c r="S20" s="35">
        <v>-4967</v>
      </c>
      <c r="T20" s="35"/>
      <c r="U20" s="35">
        <v>-40565</v>
      </c>
      <c r="V20" s="69"/>
      <c r="W20" s="32">
        <f t="shared" si="6"/>
        <v>15711</v>
      </c>
      <c r="X20" s="210">
        <v>2246.1019999999999</v>
      </c>
      <c r="Y20" s="210">
        <v>1639.5</v>
      </c>
      <c r="Z20" s="210"/>
      <c r="AA20" s="209">
        <f t="shared" si="4"/>
        <v>3885.6019999999999</v>
      </c>
      <c r="AB20" s="63">
        <f t="shared" si="8"/>
        <v>0.24731729361593788</v>
      </c>
      <c r="AC20" s="63">
        <f>AA20/W20</f>
        <v>0.24731729361593788</v>
      </c>
      <c r="AD20" s="270">
        <v>1600</v>
      </c>
      <c r="AE20" s="177">
        <v>1639</v>
      </c>
      <c r="AF20" s="270">
        <f t="shared" si="5"/>
        <v>-39</v>
      </c>
      <c r="AG20" s="270" t="s">
        <v>217</v>
      </c>
      <c r="AH20" s="270">
        <v>1600</v>
      </c>
      <c r="AI20" s="33">
        <f t="shared" si="10"/>
        <v>11825.398000000001</v>
      </c>
      <c r="AJ20" s="64"/>
      <c r="AK20" s="64"/>
      <c r="AL20" s="41">
        <f t="shared" si="3"/>
        <v>11825.398000000001</v>
      </c>
      <c r="AM20" s="73" t="s">
        <v>148</v>
      </c>
      <c r="AN20" s="125">
        <f t="shared" si="2"/>
        <v>8825.398000000001</v>
      </c>
      <c r="AO20" s="126">
        <f>(AA20+AM20)/W20</f>
        <v>0.43826631022850232</v>
      </c>
      <c r="AP20" s="74"/>
      <c r="AQ20" s="157">
        <f t="shared" ref="AQ20:AQ22" si="11">W20-AA20</f>
        <v>11825.398000000001</v>
      </c>
      <c r="AR20" s="300" t="s">
        <v>230</v>
      </c>
      <c r="AS20" s="147" t="s">
        <v>61</v>
      </c>
    </row>
    <row r="21" spans="1:51" ht="36" customHeight="1" x14ac:dyDescent="0.25">
      <c r="A21" s="30">
        <v>6</v>
      </c>
      <c r="B21" s="31" t="s">
        <v>62</v>
      </c>
      <c r="C21" s="221">
        <v>8112228</v>
      </c>
      <c r="D21" s="59"/>
      <c r="E21" s="59"/>
      <c r="F21" s="59"/>
      <c r="G21" s="59"/>
      <c r="H21" s="59"/>
      <c r="I21" s="59"/>
      <c r="J21" s="59"/>
      <c r="K21" s="59">
        <v>250</v>
      </c>
      <c r="L21" s="33"/>
      <c r="M21" s="34">
        <v>250</v>
      </c>
      <c r="N21" s="59">
        <v>36800</v>
      </c>
      <c r="O21" s="35">
        <v>36800</v>
      </c>
      <c r="P21" s="35"/>
      <c r="Q21" s="35"/>
      <c r="R21" s="35"/>
      <c r="S21" s="60"/>
      <c r="T21" s="35"/>
      <c r="U21" s="61"/>
      <c r="V21" s="62"/>
      <c r="W21" s="32">
        <f t="shared" si="6"/>
        <v>36800</v>
      </c>
      <c r="X21" s="210">
        <v>26478.066999999999</v>
      </c>
      <c r="Y21" s="210">
        <v>100</v>
      </c>
      <c r="Z21" s="210">
        <v>3017</v>
      </c>
      <c r="AA21" s="209">
        <f t="shared" si="4"/>
        <v>29595.066999999999</v>
      </c>
      <c r="AB21" s="63">
        <f t="shared" si="8"/>
        <v>0.80421377717391307</v>
      </c>
      <c r="AC21" s="63">
        <f t="shared" ref="AC21" si="12">AA21/N21</f>
        <v>0.80421377717391307</v>
      </c>
      <c r="AD21" s="270">
        <v>0</v>
      </c>
      <c r="AE21" s="177">
        <f>100+3017</f>
        <v>3117</v>
      </c>
      <c r="AF21" s="270">
        <f t="shared" si="5"/>
        <v>-3117</v>
      </c>
      <c r="AG21" s="270"/>
      <c r="AH21" s="270"/>
      <c r="AI21" s="33">
        <f t="shared" si="10"/>
        <v>7204.9330000000009</v>
      </c>
      <c r="AJ21" s="64"/>
      <c r="AK21" s="64"/>
      <c r="AL21" s="41">
        <f t="shared" si="3"/>
        <v>7204.9330000000009</v>
      </c>
      <c r="AM21" s="123">
        <v>20000</v>
      </c>
      <c r="AN21" s="125">
        <f t="shared" si="2"/>
        <v>-12795.066999999999</v>
      </c>
      <c r="AO21" s="126">
        <f>(AA21+AM21)/W21</f>
        <v>1.347692038043478</v>
      </c>
      <c r="AP21" s="77"/>
      <c r="AQ21" s="157">
        <f t="shared" si="11"/>
        <v>7204.9330000000009</v>
      </c>
      <c r="AR21" s="300" t="s">
        <v>230</v>
      </c>
      <c r="AS21" s="169"/>
      <c r="AU21" s="18">
        <f>AA21-24656</f>
        <v>4939.0669999999991</v>
      </c>
    </row>
    <row r="22" spans="1:51" ht="32.450000000000003" customHeight="1" x14ac:dyDescent="0.25">
      <c r="A22" s="30">
        <v>7</v>
      </c>
      <c r="B22" s="31" t="s">
        <v>63</v>
      </c>
      <c r="C22" s="221" t="s">
        <v>129</v>
      </c>
      <c r="D22" s="59"/>
      <c r="E22" s="59"/>
      <c r="F22" s="59"/>
      <c r="G22" s="59"/>
      <c r="H22" s="59"/>
      <c r="I22" s="59"/>
      <c r="J22" s="59">
        <v>50</v>
      </c>
      <c r="K22" s="59">
        <v>2998</v>
      </c>
      <c r="L22" s="33"/>
      <c r="M22" s="34">
        <v>2248.2619999999997</v>
      </c>
      <c r="N22" s="59">
        <v>3288</v>
      </c>
      <c r="O22" s="35">
        <v>3288</v>
      </c>
      <c r="P22" s="35"/>
      <c r="Q22" s="35"/>
      <c r="R22" s="35"/>
      <c r="S22" s="60"/>
      <c r="T22" s="35"/>
      <c r="U22" s="61"/>
      <c r="V22" s="62"/>
      <c r="W22" s="32">
        <f t="shared" si="6"/>
        <v>3288</v>
      </c>
      <c r="X22" s="210">
        <v>2292.66</v>
      </c>
      <c r="Y22" s="210">
        <v>863</v>
      </c>
      <c r="Z22" s="210"/>
      <c r="AA22" s="209">
        <f t="shared" si="4"/>
        <v>3155.66</v>
      </c>
      <c r="AB22" s="63">
        <f t="shared" si="8"/>
        <v>0.95975060827250602</v>
      </c>
      <c r="AC22" s="63">
        <f>AA22/N22</f>
        <v>0.95975060827250602</v>
      </c>
      <c r="AD22" s="270">
        <v>863</v>
      </c>
      <c r="AE22" s="177">
        <v>863</v>
      </c>
      <c r="AF22" s="270">
        <f t="shared" si="5"/>
        <v>0</v>
      </c>
      <c r="AG22" s="270" t="s">
        <v>217</v>
      </c>
      <c r="AH22" s="270">
        <v>863</v>
      </c>
      <c r="AI22" s="33">
        <f t="shared" si="10"/>
        <v>132.34000000000015</v>
      </c>
      <c r="AJ22" s="64"/>
      <c r="AK22" s="64"/>
      <c r="AL22" s="41">
        <f t="shared" si="3"/>
        <v>132.34000000000015</v>
      </c>
      <c r="AM22" s="124">
        <v>450</v>
      </c>
      <c r="AN22" s="125">
        <f t="shared" si="2"/>
        <v>-317.65999999999985</v>
      </c>
      <c r="AO22" s="126">
        <f>(AA22+AM22)/W22</f>
        <v>1.0966119221411192</v>
      </c>
      <c r="AP22" s="77"/>
      <c r="AQ22" s="157">
        <f t="shared" si="11"/>
        <v>132.34000000000015</v>
      </c>
      <c r="AR22" s="301" t="s">
        <v>231</v>
      </c>
      <c r="AS22" s="167"/>
      <c r="AT22" s="18">
        <f>AA22-38334</f>
        <v>-35178.339999999997</v>
      </c>
      <c r="AV22">
        <v>4</v>
      </c>
    </row>
    <row r="23" spans="1:51" ht="64.5" customHeight="1" x14ac:dyDescent="0.25">
      <c r="A23" s="30">
        <v>8</v>
      </c>
      <c r="B23" s="31" t="s">
        <v>187</v>
      </c>
      <c r="C23" s="221" t="s">
        <v>126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32">
        <v>6</v>
      </c>
      <c r="O23" s="35"/>
      <c r="P23" s="35"/>
      <c r="Q23" s="35"/>
      <c r="R23" s="35">
        <v>6</v>
      </c>
      <c r="S23" s="35">
        <v>6</v>
      </c>
      <c r="T23" s="35"/>
      <c r="U23" s="61">
        <v>-6</v>
      </c>
      <c r="V23" s="62"/>
      <c r="W23" s="32">
        <f t="shared" si="6"/>
        <v>6</v>
      </c>
      <c r="X23" s="210">
        <v>0</v>
      </c>
      <c r="Y23" s="210"/>
      <c r="Z23" s="210"/>
      <c r="AA23" s="209">
        <f t="shared" si="4"/>
        <v>0</v>
      </c>
      <c r="AB23" s="63"/>
      <c r="AC23" s="63"/>
      <c r="AD23" s="271"/>
      <c r="AE23" s="177"/>
      <c r="AF23" s="270">
        <f t="shared" si="5"/>
        <v>0</v>
      </c>
      <c r="AG23" s="270"/>
      <c r="AH23" s="270"/>
      <c r="AI23" s="33">
        <f t="shared" si="10"/>
        <v>6</v>
      </c>
      <c r="AJ23" s="64"/>
      <c r="AK23" s="64"/>
      <c r="AL23" s="41"/>
      <c r="AM23" s="124"/>
      <c r="AN23" s="125"/>
      <c r="AO23" s="126"/>
      <c r="AP23" s="77"/>
      <c r="AQ23" s="157"/>
      <c r="AR23" s="122" t="s">
        <v>232</v>
      </c>
      <c r="AS23" s="167"/>
      <c r="AT23" s="18"/>
    </row>
    <row r="24" spans="1:51" ht="51.75" customHeight="1" x14ac:dyDescent="0.25">
      <c r="A24" s="30">
        <v>9</v>
      </c>
      <c r="B24" s="31" t="s">
        <v>188</v>
      </c>
      <c r="C24" s="221" t="s">
        <v>119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32">
        <v>23</v>
      </c>
      <c r="O24" s="35"/>
      <c r="P24" s="35"/>
      <c r="Q24" s="35"/>
      <c r="R24" s="35">
        <v>23</v>
      </c>
      <c r="S24" s="35">
        <v>23</v>
      </c>
      <c r="T24" s="35"/>
      <c r="U24" s="61">
        <v>-23</v>
      </c>
      <c r="V24" s="62"/>
      <c r="W24" s="32">
        <f t="shared" si="6"/>
        <v>23</v>
      </c>
      <c r="X24" s="210">
        <v>0</v>
      </c>
      <c r="Y24" s="210"/>
      <c r="Z24" s="210"/>
      <c r="AA24" s="209">
        <f t="shared" si="4"/>
        <v>0</v>
      </c>
      <c r="AB24" s="63"/>
      <c r="AC24" s="63"/>
      <c r="AD24" s="271"/>
      <c r="AE24" s="177"/>
      <c r="AF24" s="270">
        <f t="shared" si="5"/>
        <v>0</v>
      </c>
      <c r="AG24" s="270"/>
      <c r="AH24" s="270"/>
      <c r="AI24" s="33">
        <f t="shared" si="10"/>
        <v>23</v>
      </c>
      <c r="AJ24" s="64"/>
      <c r="AK24" s="64"/>
      <c r="AL24" s="41"/>
      <c r="AM24" s="124"/>
      <c r="AN24" s="125"/>
      <c r="AO24" s="126"/>
      <c r="AP24" s="77"/>
      <c r="AQ24" s="157"/>
      <c r="AR24" s="122" t="s">
        <v>232</v>
      </c>
      <c r="AS24" s="167"/>
      <c r="AT24" s="18"/>
    </row>
    <row r="25" spans="1:51" ht="39" customHeight="1" x14ac:dyDescent="0.25">
      <c r="A25" s="30">
        <v>10</v>
      </c>
      <c r="B25" s="31" t="s">
        <v>193</v>
      </c>
      <c r="C25" s="221" t="s">
        <v>118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32">
        <v>4</v>
      </c>
      <c r="O25" s="35"/>
      <c r="P25" s="35"/>
      <c r="Q25" s="35"/>
      <c r="R25" s="35"/>
      <c r="S25" s="35">
        <v>4</v>
      </c>
      <c r="T25" s="35"/>
      <c r="U25" s="61"/>
      <c r="V25" s="62"/>
      <c r="W25" s="32">
        <f t="shared" si="6"/>
        <v>4</v>
      </c>
      <c r="X25" s="279">
        <v>3.2639999999999998</v>
      </c>
      <c r="Y25" s="210"/>
      <c r="Z25" s="210"/>
      <c r="AA25" s="209">
        <f t="shared" si="4"/>
        <v>3.2639999999999998</v>
      </c>
      <c r="AB25" s="63"/>
      <c r="AC25" s="63"/>
      <c r="AD25" s="271">
        <v>4</v>
      </c>
      <c r="AE25" s="210">
        <v>4</v>
      </c>
      <c r="AF25" s="270">
        <f t="shared" si="5"/>
        <v>0</v>
      </c>
      <c r="AG25" s="270"/>
      <c r="AH25" s="270"/>
      <c r="AI25" s="33">
        <f t="shared" si="10"/>
        <v>0.73600000000000021</v>
      </c>
      <c r="AJ25" s="64"/>
      <c r="AK25" s="64"/>
      <c r="AL25" s="41"/>
      <c r="AM25" s="124"/>
      <c r="AN25" s="125"/>
      <c r="AO25" s="126"/>
      <c r="AP25" s="77"/>
      <c r="AQ25" s="157"/>
      <c r="AR25" s="122" t="s">
        <v>233</v>
      </c>
      <c r="AS25" s="167"/>
      <c r="AT25" s="18"/>
    </row>
    <row r="26" spans="1:51" ht="51.75" customHeight="1" x14ac:dyDescent="0.25">
      <c r="A26" s="30">
        <v>11</v>
      </c>
      <c r="B26" s="31" t="s">
        <v>46</v>
      </c>
      <c r="C26" s="221" t="s">
        <v>114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32">
        <v>6</v>
      </c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6"/>
        <v>6</v>
      </c>
      <c r="X26" s="210">
        <v>5.54</v>
      </c>
      <c r="Y26" s="210"/>
      <c r="Z26" s="210"/>
      <c r="AA26" s="209">
        <f t="shared" si="4"/>
        <v>5.54</v>
      </c>
      <c r="AB26" s="63"/>
      <c r="AC26" s="63"/>
      <c r="AD26" s="271">
        <v>1</v>
      </c>
      <c r="AE26" s="210">
        <v>0.5</v>
      </c>
      <c r="AF26" s="270">
        <f t="shared" si="5"/>
        <v>0.5</v>
      </c>
      <c r="AG26" s="270"/>
      <c r="AH26" s="270"/>
      <c r="AI26" s="33">
        <f t="shared" si="10"/>
        <v>0.45999999999999996</v>
      </c>
      <c r="AJ26" s="64"/>
      <c r="AK26" s="64"/>
      <c r="AL26" s="41"/>
      <c r="AM26" s="124"/>
      <c r="AN26" s="125"/>
      <c r="AO26" s="126"/>
      <c r="AP26" s="77"/>
      <c r="AQ26" s="157"/>
      <c r="AR26" s="301" t="s">
        <v>231</v>
      </c>
      <c r="AS26" s="167"/>
      <c r="AT26" s="18"/>
    </row>
    <row r="27" spans="1:51" ht="35.25" customHeight="1" x14ac:dyDescent="0.25">
      <c r="A27" s="30">
        <v>12</v>
      </c>
      <c r="B27" s="31" t="s">
        <v>194</v>
      </c>
      <c r="C27" s="221" t="s">
        <v>115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32">
        <v>6</v>
      </c>
      <c r="O27" s="35"/>
      <c r="P27" s="35"/>
      <c r="Q27" s="35"/>
      <c r="R27" s="35"/>
      <c r="S27" s="35">
        <v>6</v>
      </c>
      <c r="T27" s="35"/>
      <c r="U27" s="61"/>
      <c r="V27" s="62"/>
      <c r="W27" s="32">
        <f t="shared" si="6"/>
        <v>6</v>
      </c>
      <c r="X27" s="279">
        <v>5.1639999999999997</v>
      </c>
      <c r="Y27" s="210"/>
      <c r="Z27" s="210"/>
      <c r="AA27" s="209">
        <f t="shared" si="4"/>
        <v>5.1639999999999997</v>
      </c>
      <c r="AB27" s="63"/>
      <c r="AC27" s="63"/>
      <c r="AD27" s="271">
        <v>6</v>
      </c>
      <c r="AE27" s="210">
        <v>6</v>
      </c>
      <c r="AF27" s="270">
        <f t="shared" si="5"/>
        <v>0</v>
      </c>
      <c r="AG27" s="270"/>
      <c r="AH27" s="270"/>
      <c r="AI27" s="33">
        <f t="shared" si="10"/>
        <v>0.8360000000000003</v>
      </c>
      <c r="AJ27" s="64"/>
      <c r="AK27" s="64"/>
      <c r="AL27" s="41"/>
      <c r="AM27" s="124"/>
      <c r="AN27" s="125"/>
      <c r="AO27" s="126"/>
      <c r="AP27" s="77"/>
      <c r="AQ27" s="157"/>
      <c r="AR27" s="122" t="s">
        <v>233</v>
      </c>
      <c r="AS27" s="167"/>
      <c r="AT27" s="18"/>
    </row>
    <row r="28" spans="1:51" ht="22.15" customHeight="1" x14ac:dyDescent="0.25">
      <c r="A28" s="30">
        <v>13</v>
      </c>
      <c r="B28" s="31" t="s">
        <v>195</v>
      </c>
      <c r="C28" s="221" t="s">
        <v>116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32">
        <v>4</v>
      </c>
      <c r="O28" s="35"/>
      <c r="P28" s="35"/>
      <c r="Q28" s="35"/>
      <c r="R28" s="35"/>
      <c r="S28" s="35">
        <v>4</v>
      </c>
      <c r="T28" s="35"/>
      <c r="U28" s="61"/>
      <c r="V28" s="62"/>
      <c r="W28" s="32">
        <f t="shared" si="6"/>
        <v>4</v>
      </c>
      <c r="X28" s="280">
        <v>3.97</v>
      </c>
      <c r="Y28" s="210"/>
      <c r="Z28" s="210"/>
      <c r="AA28" s="209">
        <f t="shared" si="4"/>
        <v>3.97</v>
      </c>
      <c r="AB28" s="63"/>
      <c r="AC28" s="63"/>
      <c r="AD28" s="271">
        <v>1</v>
      </c>
      <c r="AE28" s="281">
        <v>1</v>
      </c>
      <c r="AF28" s="270">
        <f t="shared" si="5"/>
        <v>0</v>
      </c>
      <c r="AG28" s="270"/>
      <c r="AH28" s="270"/>
      <c r="AI28" s="33">
        <f t="shared" si="10"/>
        <v>2.9999999999999805E-2</v>
      </c>
      <c r="AJ28" s="64"/>
      <c r="AK28" s="64"/>
      <c r="AL28" s="41"/>
      <c r="AM28" s="124"/>
      <c r="AN28" s="125"/>
      <c r="AO28" s="126"/>
      <c r="AP28" s="77"/>
      <c r="AQ28" s="157"/>
      <c r="AR28" s="301" t="s">
        <v>231</v>
      </c>
      <c r="AS28" s="167"/>
      <c r="AT28" s="18"/>
    </row>
    <row r="29" spans="1:51" ht="39.75" customHeight="1" x14ac:dyDescent="0.25">
      <c r="A29" s="30">
        <v>14</v>
      </c>
      <c r="B29" s="248" t="s">
        <v>196</v>
      </c>
      <c r="C29" s="221" t="s">
        <v>117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287">
        <v>43</v>
      </c>
      <c r="O29" s="35"/>
      <c r="P29" s="35"/>
      <c r="Q29" s="35"/>
      <c r="R29" s="35"/>
      <c r="S29" s="35">
        <v>43</v>
      </c>
      <c r="T29" s="35"/>
      <c r="U29" s="61"/>
      <c r="V29" s="62"/>
      <c r="W29" s="32">
        <f t="shared" si="6"/>
        <v>43</v>
      </c>
      <c r="X29" s="278">
        <v>42.15</v>
      </c>
      <c r="Y29" s="210"/>
      <c r="Z29" s="210"/>
      <c r="AA29" s="209">
        <f t="shared" si="4"/>
        <v>42.15</v>
      </c>
      <c r="AB29" s="63"/>
      <c r="AC29" s="63"/>
      <c r="AD29" s="271">
        <v>36</v>
      </c>
      <c r="AE29" s="210">
        <v>36</v>
      </c>
      <c r="AF29" s="270">
        <f t="shared" si="5"/>
        <v>0</v>
      </c>
      <c r="AG29" s="270"/>
      <c r="AH29" s="270"/>
      <c r="AI29" s="33">
        <f t="shared" si="10"/>
        <v>0.85000000000000142</v>
      </c>
      <c r="AJ29" s="64"/>
      <c r="AK29" s="64"/>
      <c r="AL29" s="41"/>
      <c r="AM29" s="124"/>
      <c r="AN29" s="125"/>
      <c r="AO29" s="126"/>
      <c r="AP29" s="77"/>
      <c r="AQ29" s="157"/>
      <c r="AR29" s="299" t="s">
        <v>229</v>
      </c>
      <c r="AS29" s="167"/>
      <c r="AT29" s="18"/>
      <c r="AY29" s="269"/>
    </row>
    <row r="30" spans="1:51" ht="39" customHeight="1" x14ac:dyDescent="0.25">
      <c r="A30" s="30">
        <v>15</v>
      </c>
      <c r="B30" s="248" t="s">
        <v>197</v>
      </c>
      <c r="C30" s="221" t="s">
        <v>120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32">
        <v>45</v>
      </c>
      <c r="O30" s="35"/>
      <c r="P30" s="35"/>
      <c r="Q30" s="35"/>
      <c r="R30" s="35"/>
      <c r="S30" s="35">
        <v>45</v>
      </c>
      <c r="T30" s="35"/>
      <c r="U30" s="61"/>
      <c r="V30" s="62"/>
      <c r="W30" s="32">
        <f t="shared" si="6"/>
        <v>45</v>
      </c>
      <c r="X30" s="210">
        <v>44.32</v>
      </c>
      <c r="Y30" s="210"/>
      <c r="Z30" s="210"/>
      <c r="AA30" s="209">
        <f t="shared" si="4"/>
        <v>44.32</v>
      </c>
      <c r="AB30" s="63"/>
      <c r="AC30" s="63"/>
      <c r="AD30" s="271">
        <v>45</v>
      </c>
      <c r="AE30" s="210">
        <v>44.32</v>
      </c>
      <c r="AF30" s="270">
        <f t="shared" si="5"/>
        <v>0.67999999999999972</v>
      </c>
      <c r="AG30" s="270"/>
      <c r="AH30" s="270"/>
      <c r="AI30" s="33">
        <f t="shared" si="10"/>
        <v>0.67999999999999972</v>
      </c>
      <c r="AJ30" s="64"/>
      <c r="AK30" s="64"/>
      <c r="AL30" s="41"/>
      <c r="AM30" s="124"/>
      <c r="AN30" s="125"/>
      <c r="AO30" s="126"/>
      <c r="AP30" s="77"/>
      <c r="AQ30" s="157"/>
      <c r="AR30" s="301" t="s">
        <v>231</v>
      </c>
      <c r="AS30" s="167"/>
      <c r="AT30" s="18"/>
    </row>
    <row r="31" spans="1:51" ht="53.25" customHeight="1" x14ac:dyDescent="0.25">
      <c r="A31" s="30">
        <v>16</v>
      </c>
      <c r="B31" s="248" t="s">
        <v>198</v>
      </c>
      <c r="C31" s="221" t="s">
        <v>121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32">
        <v>74</v>
      </c>
      <c r="O31" s="35"/>
      <c r="P31" s="35"/>
      <c r="Q31" s="35"/>
      <c r="R31" s="35"/>
      <c r="S31" s="35">
        <v>74</v>
      </c>
      <c r="T31" s="35"/>
      <c r="U31" s="61"/>
      <c r="V31" s="62"/>
      <c r="W31" s="32">
        <f t="shared" si="6"/>
        <v>74</v>
      </c>
      <c r="X31" s="210">
        <v>73.800000000000011</v>
      </c>
      <c r="Y31" s="210"/>
      <c r="Z31" s="210"/>
      <c r="AA31" s="209">
        <f t="shared" si="4"/>
        <v>73.800000000000011</v>
      </c>
      <c r="AB31" s="63"/>
      <c r="AC31" s="63"/>
      <c r="AD31" s="271">
        <v>37</v>
      </c>
      <c r="AE31" s="210">
        <v>36.700000000000003</v>
      </c>
      <c r="AF31" s="270">
        <f t="shared" si="5"/>
        <v>0.29999999999999716</v>
      </c>
      <c r="AG31" s="270"/>
      <c r="AH31" s="270"/>
      <c r="AI31" s="33">
        <f t="shared" si="10"/>
        <v>0.19999999999998863</v>
      </c>
      <c r="AJ31" s="64"/>
      <c r="AK31" s="64"/>
      <c r="AL31" s="41"/>
      <c r="AM31" s="124"/>
      <c r="AN31" s="125"/>
      <c r="AO31" s="126"/>
      <c r="AP31" s="77"/>
      <c r="AQ31" s="157"/>
      <c r="AR31" s="301" t="s">
        <v>231</v>
      </c>
      <c r="AS31" s="167"/>
      <c r="AT31" s="18"/>
    </row>
    <row r="32" spans="1:51" ht="38.25" customHeight="1" x14ac:dyDescent="0.25">
      <c r="A32" s="30">
        <v>17</v>
      </c>
      <c r="B32" s="248" t="s">
        <v>54</v>
      </c>
      <c r="C32" s="221" t="s">
        <v>200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32">
        <v>4</v>
      </c>
      <c r="O32" s="35"/>
      <c r="P32" s="35"/>
      <c r="Q32" s="35"/>
      <c r="R32" s="35"/>
      <c r="S32" s="35">
        <v>4</v>
      </c>
      <c r="T32" s="35"/>
      <c r="U32" s="61"/>
      <c r="V32" s="62"/>
      <c r="W32" s="32">
        <f t="shared" si="6"/>
        <v>4</v>
      </c>
      <c r="X32" s="279">
        <v>3.28</v>
      </c>
      <c r="Y32" s="210"/>
      <c r="Z32" s="210"/>
      <c r="AA32" s="209">
        <f t="shared" si="4"/>
        <v>3.28</v>
      </c>
      <c r="AB32" s="63"/>
      <c r="AC32" s="63"/>
      <c r="AD32" s="271">
        <v>4</v>
      </c>
      <c r="AE32" s="210">
        <v>3.28</v>
      </c>
      <c r="AF32" s="270">
        <f t="shared" si="5"/>
        <v>0.7200000000000002</v>
      </c>
      <c r="AG32" s="270"/>
      <c r="AH32" s="270"/>
      <c r="AI32" s="33">
        <f t="shared" si="10"/>
        <v>0.7200000000000002</v>
      </c>
      <c r="AJ32" s="64"/>
      <c r="AK32" s="64"/>
      <c r="AL32" s="41"/>
      <c r="AM32" s="124"/>
      <c r="AN32" s="125"/>
      <c r="AO32" s="126"/>
      <c r="AP32" s="77"/>
      <c r="AQ32" s="157"/>
      <c r="AR32" s="122" t="s">
        <v>232</v>
      </c>
      <c r="AS32" s="167"/>
      <c r="AT32" s="18"/>
    </row>
    <row r="33" spans="1:49" ht="38.25" customHeight="1" x14ac:dyDescent="0.25">
      <c r="A33" s="30">
        <v>18</v>
      </c>
      <c r="B33" s="248" t="s">
        <v>199</v>
      </c>
      <c r="C33" s="221" t="s">
        <v>124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32">
        <v>9</v>
      </c>
      <c r="O33" s="35"/>
      <c r="P33" s="35"/>
      <c r="Q33" s="35"/>
      <c r="R33" s="35"/>
      <c r="S33" s="35">
        <v>9</v>
      </c>
      <c r="T33" s="35"/>
      <c r="U33" s="61"/>
      <c r="V33" s="62"/>
      <c r="W33" s="32">
        <f t="shared" si="6"/>
        <v>9</v>
      </c>
      <c r="X33" s="210">
        <v>8.6999999999999993</v>
      </c>
      <c r="Y33" s="210"/>
      <c r="Z33" s="210"/>
      <c r="AA33" s="209">
        <f t="shared" si="4"/>
        <v>8.6999999999999993</v>
      </c>
      <c r="AB33" s="63"/>
      <c r="AC33" s="63"/>
      <c r="AD33" s="271">
        <v>9</v>
      </c>
      <c r="AE33" s="210">
        <v>8.6999999999999993</v>
      </c>
      <c r="AF33" s="270">
        <f t="shared" si="5"/>
        <v>0.30000000000000071</v>
      </c>
      <c r="AG33" s="270"/>
      <c r="AH33" s="270"/>
      <c r="AI33" s="33">
        <f t="shared" si="10"/>
        <v>0.30000000000000071</v>
      </c>
      <c r="AJ33" s="64"/>
      <c r="AK33" s="64"/>
      <c r="AL33" s="41"/>
      <c r="AM33" s="124"/>
      <c r="AN33" s="125"/>
      <c r="AO33" s="126"/>
      <c r="AP33" s="77"/>
      <c r="AQ33" s="157"/>
      <c r="AR33" s="122" t="s">
        <v>233</v>
      </c>
      <c r="AS33" s="167"/>
      <c r="AT33" s="18"/>
    </row>
    <row r="34" spans="1:49" ht="51.75" customHeight="1" x14ac:dyDescent="0.25">
      <c r="A34" s="30">
        <v>19</v>
      </c>
      <c r="B34" s="248" t="s">
        <v>57</v>
      </c>
      <c r="C34" s="221" t="s">
        <v>125</v>
      </c>
      <c r="D34" s="59"/>
      <c r="E34" s="59"/>
      <c r="F34" s="59"/>
      <c r="G34" s="59"/>
      <c r="H34" s="59"/>
      <c r="I34" s="59"/>
      <c r="J34" s="59"/>
      <c r="K34" s="59"/>
      <c r="L34" s="33"/>
      <c r="M34" s="34"/>
      <c r="N34" s="32">
        <v>10</v>
      </c>
      <c r="O34" s="35"/>
      <c r="P34" s="35"/>
      <c r="Q34" s="35"/>
      <c r="R34" s="35"/>
      <c r="S34" s="35">
        <v>10</v>
      </c>
      <c r="T34" s="35"/>
      <c r="U34" s="61"/>
      <c r="V34" s="62"/>
      <c r="W34" s="32">
        <f t="shared" si="6"/>
        <v>10</v>
      </c>
      <c r="X34" s="210">
        <v>9</v>
      </c>
      <c r="Y34" s="210"/>
      <c r="Z34" s="210"/>
      <c r="AA34" s="209">
        <f t="shared" si="4"/>
        <v>9</v>
      </c>
      <c r="AB34" s="63"/>
      <c r="AC34" s="63"/>
      <c r="AD34" s="271">
        <v>2</v>
      </c>
      <c r="AE34" s="210">
        <v>1</v>
      </c>
      <c r="AF34" s="270">
        <f>AD34-AE34</f>
        <v>1</v>
      </c>
      <c r="AG34" s="270"/>
      <c r="AH34" s="270"/>
      <c r="AI34" s="33">
        <f t="shared" si="10"/>
        <v>1</v>
      </c>
      <c r="AJ34" s="64"/>
      <c r="AK34" s="64"/>
      <c r="AL34" s="41"/>
      <c r="AM34" s="124"/>
      <c r="AN34" s="125"/>
      <c r="AO34" s="126"/>
      <c r="AP34" s="77"/>
      <c r="AQ34" s="157"/>
      <c r="AR34" s="301" t="s">
        <v>231</v>
      </c>
      <c r="AS34" s="167"/>
      <c r="AT34" s="18"/>
    </row>
    <row r="35" spans="1:49" ht="24" customHeight="1" x14ac:dyDescent="0.25">
      <c r="A35" s="51" t="s">
        <v>182</v>
      </c>
      <c r="B35" s="52" t="s">
        <v>64</v>
      </c>
      <c r="C35" s="222"/>
      <c r="D35" s="76"/>
      <c r="E35" s="76"/>
      <c r="F35" s="76"/>
      <c r="G35" s="76"/>
      <c r="H35" s="76"/>
      <c r="I35" s="76"/>
      <c r="J35" s="76"/>
      <c r="K35" s="76"/>
      <c r="L35" s="33"/>
      <c r="M35" s="34"/>
      <c r="N35" s="136"/>
      <c r="O35" s="54"/>
      <c r="P35" s="35"/>
      <c r="Q35" s="35"/>
      <c r="R35" s="35"/>
      <c r="S35" s="60"/>
      <c r="T35" s="35"/>
      <c r="U35" s="35"/>
      <c r="V35" s="35"/>
      <c r="W35" s="32"/>
      <c r="X35" s="210"/>
      <c r="Y35" s="210"/>
      <c r="Z35" s="210"/>
      <c r="AA35" s="209">
        <f t="shared" si="4"/>
        <v>0</v>
      </c>
      <c r="AB35" s="63"/>
      <c r="AC35" s="63"/>
      <c r="AD35" s="271"/>
      <c r="AE35" s="177"/>
      <c r="AF35" s="270">
        <f t="shared" si="5"/>
        <v>0</v>
      </c>
      <c r="AG35" s="270"/>
      <c r="AH35" s="270"/>
      <c r="AI35" s="33">
        <f t="shared" si="10"/>
        <v>0</v>
      </c>
      <c r="AJ35" s="64"/>
      <c r="AK35" s="64"/>
      <c r="AL35" s="41">
        <f t="shared" si="3"/>
        <v>0</v>
      </c>
      <c r="AM35" s="67"/>
      <c r="AN35" s="125">
        <f t="shared" ref="AN35:AN68" si="13">W35-AA35-AM35</f>
        <v>0</v>
      </c>
      <c r="AO35" s="126"/>
      <c r="AP35" s="67"/>
      <c r="AQ35" s="64"/>
      <c r="AR35" s="302"/>
      <c r="AS35" s="170"/>
    </row>
    <row r="36" spans="1:49" ht="36" customHeight="1" x14ac:dyDescent="0.25">
      <c r="A36" s="30">
        <v>20</v>
      </c>
      <c r="B36" s="31" t="s">
        <v>177</v>
      </c>
      <c r="C36" s="221" t="s">
        <v>130</v>
      </c>
      <c r="D36" s="59"/>
      <c r="E36" s="59"/>
      <c r="F36" s="59"/>
      <c r="G36" s="59"/>
      <c r="H36" s="59"/>
      <c r="I36" s="59"/>
      <c r="J36" s="59">
        <v>50</v>
      </c>
      <c r="K36" s="59">
        <v>200</v>
      </c>
      <c r="L36" s="33"/>
      <c r="M36" s="34">
        <f>200</f>
        <v>200</v>
      </c>
      <c r="N36" s="59">
        <v>6515</v>
      </c>
      <c r="O36" s="35">
        <v>8285</v>
      </c>
      <c r="P36" s="35"/>
      <c r="Q36" s="35"/>
      <c r="R36" s="35"/>
      <c r="S36" s="35">
        <v>-1632</v>
      </c>
      <c r="T36" s="35"/>
      <c r="U36" s="61">
        <v>-138</v>
      </c>
      <c r="V36" s="61"/>
      <c r="W36" s="32">
        <f t="shared" si="6"/>
        <v>6515</v>
      </c>
      <c r="X36" s="210">
        <v>6002.44</v>
      </c>
      <c r="Y36" s="210">
        <v>450</v>
      </c>
      <c r="Z36" s="210"/>
      <c r="AA36" s="209">
        <f>SUM(X36:Z36)+1</f>
        <v>6453.44</v>
      </c>
      <c r="AB36" s="63">
        <f>AA36/W36</f>
        <v>0.99055103607060624</v>
      </c>
      <c r="AC36" s="63">
        <f>AA36/N36</f>
        <v>0.99055103607060624</v>
      </c>
      <c r="AD36" s="271"/>
      <c r="AE36" s="177">
        <v>450</v>
      </c>
      <c r="AF36" s="270">
        <f t="shared" si="5"/>
        <v>-450</v>
      </c>
      <c r="AG36" s="270"/>
      <c r="AH36" s="270"/>
      <c r="AI36" s="33">
        <f t="shared" si="10"/>
        <v>61.5600000000004</v>
      </c>
      <c r="AJ36" s="64"/>
      <c r="AK36" s="64"/>
      <c r="AL36" s="41">
        <f t="shared" si="3"/>
        <v>61.5600000000004</v>
      </c>
      <c r="AM36" s="65">
        <v>110</v>
      </c>
      <c r="AN36" s="125">
        <f t="shared" si="13"/>
        <v>-48.4399999999996</v>
      </c>
      <c r="AO36" s="126">
        <f t="shared" ref="AO36:AO62" si="14">(AA36+AM36)/W36</f>
        <v>1.007435149654643</v>
      </c>
      <c r="AP36" s="64"/>
      <c r="AQ36" s="64">
        <f>W36-AA36</f>
        <v>61.5600000000004</v>
      </c>
      <c r="AR36" s="300" t="s">
        <v>230</v>
      </c>
      <c r="AS36" s="168"/>
      <c r="AW36" s="18">
        <f>AA36-6078</f>
        <v>375.4399999999996</v>
      </c>
    </row>
    <row r="37" spans="1:49" ht="39.6" customHeight="1" x14ac:dyDescent="0.25">
      <c r="A37" s="30">
        <v>21</v>
      </c>
      <c r="B37" s="31" t="s">
        <v>66</v>
      </c>
      <c r="C37" s="221">
        <v>8112965</v>
      </c>
      <c r="D37" s="59"/>
      <c r="E37" s="59"/>
      <c r="F37" s="59"/>
      <c r="G37" s="59"/>
      <c r="H37" s="59"/>
      <c r="I37" s="59"/>
      <c r="J37" s="59"/>
      <c r="K37" s="59">
        <v>200</v>
      </c>
      <c r="L37" s="33"/>
      <c r="M37" s="34">
        <v>170</v>
      </c>
      <c r="N37" s="59">
        <v>1208</v>
      </c>
      <c r="O37" s="35">
        <v>1208</v>
      </c>
      <c r="P37" s="35"/>
      <c r="Q37" s="35"/>
      <c r="R37" s="35"/>
      <c r="S37" s="60"/>
      <c r="T37" s="35"/>
      <c r="U37" s="61"/>
      <c r="V37" s="62"/>
      <c r="W37" s="32">
        <f t="shared" si="6"/>
        <v>1208</v>
      </c>
      <c r="X37" s="210">
        <v>936.10699999999997</v>
      </c>
      <c r="Y37" s="210"/>
      <c r="Z37" s="210"/>
      <c r="AA37" s="209">
        <f t="shared" si="4"/>
        <v>936.10699999999997</v>
      </c>
      <c r="AB37" s="63">
        <f t="shared" ref="AB37:AB61" si="15">AA37/W37</f>
        <v>0.7749230132450331</v>
      </c>
      <c r="AC37" s="63">
        <f t="shared" ref="AC37:AC61" si="16">AA37/N37</f>
        <v>0.7749230132450331</v>
      </c>
      <c r="AD37" s="271"/>
      <c r="AE37" s="177"/>
      <c r="AF37" s="270">
        <f t="shared" si="5"/>
        <v>0</v>
      </c>
      <c r="AG37" s="270"/>
      <c r="AH37" s="270"/>
      <c r="AI37" s="33">
        <f t="shared" si="10"/>
        <v>271.89300000000003</v>
      </c>
      <c r="AJ37" s="64"/>
      <c r="AK37" s="64"/>
      <c r="AL37" s="41">
        <f t="shared" si="3"/>
        <v>271.89300000000003</v>
      </c>
      <c r="AM37" s="65"/>
      <c r="AN37" s="125">
        <f t="shared" si="13"/>
        <v>271.89300000000003</v>
      </c>
      <c r="AO37" s="126">
        <f t="shared" si="14"/>
        <v>0.7749230132450331</v>
      </c>
      <c r="AP37" s="67"/>
      <c r="AQ37" s="64">
        <f t="shared" ref="AQ37:AQ62" si="17">W37-AA37</f>
        <v>271.89300000000003</v>
      </c>
      <c r="AR37" s="299" t="s">
        <v>229</v>
      </c>
      <c r="AS37" s="169"/>
      <c r="AU37" s="19">
        <f>X37-261</f>
        <v>675.10699999999997</v>
      </c>
    </row>
    <row r="38" spans="1:49" ht="36.6" customHeight="1" x14ac:dyDescent="0.25">
      <c r="A38" s="30">
        <v>22</v>
      </c>
      <c r="B38" s="31" t="s">
        <v>67</v>
      </c>
      <c r="C38" s="221">
        <v>8100887</v>
      </c>
      <c r="D38" s="59"/>
      <c r="E38" s="59"/>
      <c r="F38" s="59"/>
      <c r="G38" s="59"/>
      <c r="H38" s="59"/>
      <c r="I38" s="59"/>
      <c r="J38" s="59"/>
      <c r="K38" s="59">
        <v>5221</v>
      </c>
      <c r="L38" s="33"/>
      <c r="M38" s="34">
        <v>1558.6</v>
      </c>
      <c r="N38" s="59">
        <v>12500</v>
      </c>
      <c r="O38" s="35">
        <v>5000</v>
      </c>
      <c r="P38" s="35"/>
      <c r="Q38" s="35"/>
      <c r="R38" s="35"/>
      <c r="S38" s="35">
        <v>11500</v>
      </c>
      <c r="T38" s="35"/>
      <c r="U38" s="61">
        <v>-2000</v>
      </c>
      <c r="V38" s="62"/>
      <c r="W38" s="32">
        <f t="shared" si="6"/>
        <v>14500</v>
      </c>
      <c r="X38" s="210">
        <v>9615.2000000000007</v>
      </c>
      <c r="Y38" s="210"/>
      <c r="Z38" s="210"/>
      <c r="AA38" s="209">
        <f t="shared" si="4"/>
        <v>9615.2000000000007</v>
      </c>
      <c r="AB38" s="39">
        <f>AA38/W38</f>
        <v>0.66311724137931038</v>
      </c>
      <c r="AC38" s="39">
        <f t="shared" si="16"/>
        <v>0.76921600000000001</v>
      </c>
      <c r="AD38" s="271">
        <v>3500</v>
      </c>
      <c r="AE38" s="177"/>
      <c r="AF38" s="270">
        <f t="shared" si="5"/>
        <v>3500</v>
      </c>
      <c r="AG38" s="270"/>
      <c r="AH38" s="270"/>
      <c r="AI38" s="33">
        <f t="shared" si="10"/>
        <v>4884.7999999999993</v>
      </c>
      <c r="AJ38" s="64"/>
      <c r="AK38" s="64"/>
      <c r="AL38" s="41">
        <f t="shared" si="3"/>
        <v>4884.7999999999993</v>
      </c>
      <c r="AM38" s="65">
        <v>1000</v>
      </c>
      <c r="AN38" s="125">
        <f t="shared" si="13"/>
        <v>3884.7999999999993</v>
      </c>
      <c r="AO38" s="126">
        <f t="shared" si="14"/>
        <v>0.73208275862068972</v>
      </c>
      <c r="AP38" s="67"/>
      <c r="AQ38" s="64">
        <f t="shared" si="17"/>
        <v>4884.7999999999993</v>
      </c>
      <c r="AR38" s="301" t="s">
        <v>231</v>
      </c>
      <c r="AS38" s="167"/>
      <c r="AT38" s="22"/>
      <c r="AU38" s="19"/>
    </row>
    <row r="39" spans="1:49" ht="51" customHeight="1" x14ac:dyDescent="0.25">
      <c r="A39" s="30">
        <v>23</v>
      </c>
      <c r="B39" s="31" t="s">
        <v>68</v>
      </c>
      <c r="C39" s="221">
        <v>8101114</v>
      </c>
      <c r="D39" s="59"/>
      <c r="E39" s="59"/>
      <c r="F39" s="59"/>
      <c r="G39" s="59"/>
      <c r="H39" s="59"/>
      <c r="I39" s="59"/>
      <c r="J39" s="59"/>
      <c r="K39" s="59">
        <v>1000</v>
      </c>
      <c r="L39" s="33"/>
      <c r="M39" s="34">
        <v>983.19999999999993</v>
      </c>
      <c r="N39" s="59">
        <v>44117</v>
      </c>
      <c r="O39" s="35">
        <v>44117</v>
      </c>
      <c r="P39" s="35"/>
      <c r="Q39" s="35"/>
      <c r="R39" s="35"/>
      <c r="S39" s="60"/>
      <c r="T39" s="35"/>
      <c r="U39" s="61"/>
      <c r="V39" s="62">
        <v>-5000</v>
      </c>
      <c r="W39" s="32">
        <f t="shared" si="6"/>
        <v>39117</v>
      </c>
      <c r="X39" s="210">
        <v>28470.23</v>
      </c>
      <c r="Y39" s="210">
        <f>136.3+11.8+200</f>
        <v>348.1</v>
      </c>
      <c r="Z39" s="210">
        <v>0</v>
      </c>
      <c r="AA39" s="209">
        <f t="shared" si="4"/>
        <v>28818.329999999998</v>
      </c>
      <c r="AB39" s="63">
        <f t="shared" si="15"/>
        <v>0.73672137433852281</v>
      </c>
      <c r="AC39" s="63">
        <f t="shared" si="16"/>
        <v>0.65322506063422259</v>
      </c>
      <c r="AD39" s="271">
        <f>7900</f>
        <v>7900</v>
      </c>
      <c r="AE39" s="177">
        <f>7931+148+200</f>
        <v>8279</v>
      </c>
      <c r="AF39" s="270">
        <f t="shared" si="5"/>
        <v>-379</v>
      </c>
      <c r="AG39" s="270" t="s">
        <v>220</v>
      </c>
      <c r="AH39" s="270">
        <v>148</v>
      </c>
      <c r="AI39" s="33">
        <f t="shared" si="10"/>
        <v>10298.670000000002</v>
      </c>
      <c r="AJ39" s="64"/>
      <c r="AK39" s="64"/>
      <c r="AL39" s="41">
        <f t="shared" si="3"/>
        <v>10298.670000000002</v>
      </c>
      <c r="AM39" s="65">
        <v>5000</v>
      </c>
      <c r="AN39" s="125">
        <f t="shared" si="13"/>
        <v>5298.6700000000019</v>
      </c>
      <c r="AO39" s="126">
        <f t="shared" si="14"/>
        <v>0.86454303755400475</v>
      </c>
      <c r="AP39" s="122"/>
      <c r="AQ39" s="64">
        <f t="shared" si="17"/>
        <v>10298.670000000002</v>
      </c>
      <c r="AR39" s="299" t="s">
        <v>229</v>
      </c>
      <c r="AS39" s="166"/>
      <c r="AU39" s="19"/>
    </row>
    <row r="40" spans="1:49" ht="41.45" customHeight="1" x14ac:dyDescent="0.25">
      <c r="A40" s="30">
        <v>24</v>
      </c>
      <c r="B40" s="31" t="s">
        <v>69</v>
      </c>
      <c r="C40" s="221">
        <v>8100889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1097.5700000000002</v>
      </c>
      <c r="N40" s="59">
        <v>48719</v>
      </c>
      <c r="O40" s="35">
        <v>50419</v>
      </c>
      <c r="P40" s="35"/>
      <c r="Q40" s="35"/>
      <c r="R40" s="35"/>
      <c r="S40" s="60"/>
      <c r="T40" s="35"/>
      <c r="U40" s="35"/>
      <c r="V40" s="69"/>
      <c r="W40" s="32">
        <f t="shared" si="6"/>
        <v>50419</v>
      </c>
      <c r="X40" s="210">
        <v>22235.989999999998</v>
      </c>
      <c r="Y40" s="210"/>
      <c r="Z40" s="210">
        <v>11394</v>
      </c>
      <c r="AA40" s="209">
        <f t="shared" si="4"/>
        <v>33629.99</v>
      </c>
      <c r="AB40" s="63">
        <f t="shared" si="15"/>
        <v>0.66701025407088599</v>
      </c>
      <c r="AC40" s="63">
        <f t="shared" si="16"/>
        <v>0.69028489911533486</v>
      </c>
      <c r="AD40" s="271">
        <v>10000</v>
      </c>
      <c r="AE40" s="177">
        <f>80+11394</f>
        <v>11474</v>
      </c>
      <c r="AF40" s="270">
        <f t="shared" si="5"/>
        <v>-1474</v>
      </c>
      <c r="AG40" s="270" t="s">
        <v>218</v>
      </c>
      <c r="AH40" s="270">
        <v>11382</v>
      </c>
      <c r="AI40" s="33">
        <f t="shared" si="10"/>
        <v>16789.010000000002</v>
      </c>
      <c r="AJ40" s="64"/>
      <c r="AK40" s="64"/>
      <c r="AL40" s="41">
        <f t="shared" si="3"/>
        <v>16789.010000000002</v>
      </c>
      <c r="AM40" s="65">
        <v>3200</v>
      </c>
      <c r="AN40" s="125">
        <f t="shared" si="13"/>
        <v>13589.010000000002</v>
      </c>
      <c r="AO40" s="126">
        <f t="shared" si="14"/>
        <v>0.73047839108272672</v>
      </c>
      <c r="AP40" s="67"/>
      <c r="AQ40" s="64">
        <f t="shared" si="17"/>
        <v>16789.010000000002</v>
      </c>
      <c r="AR40" s="122" t="s">
        <v>233</v>
      </c>
      <c r="AS40" s="169"/>
    </row>
    <row r="41" spans="1:49" ht="46.15" customHeight="1" x14ac:dyDescent="0.25">
      <c r="A41" s="30">
        <v>25</v>
      </c>
      <c r="B41" s="31" t="s">
        <v>70</v>
      </c>
      <c r="C41" s="221">
        <v>8111370</v>
      </c>
      <c r="D41" s="59"/>
      <c r="E41" s="59"/>
      <c r="F41" s="59"/>
      <c r="G41" s="59"/>
      <c r="H41" s="59"/>
      <c r="I41" s="59"/>
      <c r="J41" s="59"/>
      <c r="K41" s="59">
        <v>1100</v>
      </c>
      <c r="L41" s="33"/>
      <c r="M41" s="34">
        <v>931.3</v>
      </c>
      <c r="N41" s="59">
        <v>60438</v>
      </c>
      <c r="O41" s="35">
        <v>70000</v>
      </c>
      <c r="P41" s="35"/>
      <c r="Q41" s="35">
        <v>-4562</v>
      </c>
      <c r="R41" s="35"/>
      <c r="S41" s="35">
        <v>-5000</v>
      </c>
      <c r="T41" s="35"/>
      <c r="U41" s="35"/>
      <c r="V41" s="69"/>
      <c r="W41" s="32">
        <f t="shared" si="6"/>
        <v>60438</v>
      </c>
      <c r="X41" s="210">
        <v>36775</v>
      </c>
      <c r="Y41" s="210">
        <f>9458.8+1474.1+300</f>
        <v>11232.9</v>
      </c>
      <c r="Z41" s="210"/>
      <c r="AA41" s="209">
        <f t="shared" si="4"/>
        <v>48007.9</v>
      </c>
      <c r="AB41" s="63">
        <f t="shared" si="15"/>
        <v>0.79433303550746226</v>
      </c>
      <c r="AC41" s="63">
        <f t="shared" si="16"/>
        <v>0.79433303550746226</v>
      </c>
      <c r="AD41" s="271">
        <v>10000</v>
      </c>
      <c r="AE41" s="177">
        <f>10933+300</f>
        <v>11233</v>
      </c>
      <c r="AF41" s="270">
        <f t="shared" si="5"/>
        <v>-1233</v>
      </c>
      <c r="AG41" s="270"/>
      <c r="AH41" s="270"/>
      <c r="AI41" s="33">
        <f t="shared" si="10"/>
        <v>12430.099999999999</v>
      </c>
      <c r="AJ41" s="64"/>
      <c r="AK41" s="64"/>
      <c r="AL41" s="41">
        <f t="shared" si="3"/>
        <v>12430.099999999999</v>
      </c>
      <c r="AM41" s="65">
        <v>15000</v>
      </c>
      <c r="AN41" s="125">
        <f t="shared" si="13"/>
        <v>-2569.9000000000015</v>
      </c>
      <c r="AO41" s="126">
        <f t="shared" si="14"/>
        <v>1.042521261458023</v>
      </c>
      <c r="AP41" s="64"/>
      <c r="AQ41" s="64">
        <f t="shared" si="17"/>
        <v>12430.099999999999</v>
      </c>
      <c r="AR41" s="301" t="s">
        <v>231</v>
      </c>
      <c r="AS41" s="169"/>
      <c r="AW41" s="18">
        <f>16055-7000</f>
        <v>9055</v>
      </c>
    </row>
    <row r="42" spans="1:49" ht="40.15" customHeight="1" x14ac:dyDescent="0.25">
      <c r="A42" s="30">
        <v>26</v>
      </c>
      <c r="B42" s="31" t="s">
        <v>71</v>
      </c>
      <c r="C42" s="221">
        <v>8111981</v>
      </c>
      <c r="D42" s="59"/>
      <c r="E42" s="59"/>
      <c r="F42" s="59"/>
      <c r="G42" s="59"/>
      <c r="H42" s="59"/>
      <c r="I42" s="59"/>
      <c r="J42" s="59"/>
      <c r="K42" s="59">
        <v>300</v>
      </c>
      <c r="L42" s="33"/>
      <c r="M42" s="34">
        <v>272</v>
      </c>
      <c r="N42" s="59">
        <v>420</v>
      </c>
      <c r="O42" s="35">
        <v>20</v>
      </c>
      <c r="P42" s="35"/>
      <c r="Q42" s="35"/>
      <c r="R42" s="35"/>
      <c r="S42" s="35">
        <v>400</v>
      </c>
      <c r="T42" s="35"/>
      <c r="U42" s="35"/>
      <c r="V42" s="69"/>
      <c r="W42" s="32">
        <f t="shared" si="6"/>
        <v>420</v>
      </c>
      <c r="X42" s="210">
        <v>0</v>
      </c>
      <c r="Y42" s="210"/>
      <c r="Z42" s="210"/>
      <c r="AA42" s="209">
        <f t="shared" si="4"/>
        <v>0</v>
      </c>
      <c r="AB42" s="63">
        <f t="shared" si="15"/>
        <v>0</v>
      </c>
      <c r="AC42" s="63">
        <f t="shared" si="16"/>
        <v>0</v>
      </c>
      <c r="AD42" s="271"/>
      <c r="AE42" s="177"/>
      <c r="AF42" s="270">
        <f t="shared" si="5"/>
        <v>0</v>
      </c>
      <c r="AG42" s="270"/>
      <c r="AH42" s="270"/>
      <c r="AI42" s="33">
        <f t="shared" si="10"/>
        <v>420</v>
      </c>
      <c r="AJ42" s="64"/>
      <c r="AK42" s="64"/>
      <c r="AL42" s="41">
        <f t="shared" si="3"/>
        <v>420</v>
      </c>
      <c r="AM42" s="65"/>
      <c r="AN42" s="125">
        <f t="shared" si="13"/>
        <v>420</v>
      </c>
      <c r="AO42" s="126">
        <f t="shared" si="14"/>
        <v>0</v>
      </c>
      <c r="AP42" s="128"/>
      <c r="AQ42" s="64">
        <f t="shared" si="17"/>
        <v>420</v>
      </c>
      <c r="AR42" s="301" t="s">
        <v>231</v>
      </c>
      <c r="AS42" s="169"/>
      <c r="AT42" s="18">
        <f>AT41-AA41</f>
        <v>-48007.9</v>
      </c>
      <c r="AW42">
        <v>1473</v>
      </c>
    </row>
    <row r="43" spans="1:49" ht="36.6" customHeight="1" x14ac:dyDescent="0.25">
      <c r="A43" s="30">
        <v>27</v>
      </c>
      <c r="B43" s="31" t="s">
        <v>72</v>
      </c>
      <c r="C43" s="221">
        <v>8112964</v>
      </c>
      <c r="D43" s="59"/>
      <c r="E43" s="59"/>
      <c r="F43" s="59"/>
      <c r="G43" s="59"/>
      <c r="H43" s="59"/>
      <c r="I43" s="59"/>
      <c r="J43" s="59"/>
      <c r="K43" s="59">
        <v>340</v>
      </c>
      <c r="L43" s="33"/>
      <c r="M43" s="34">
        <v>339.3</v>
      </c>
      <c r="N43" s="59">
        <v>125</v>
      </c>
      <c r="O43" s="35">
        <v>125</v>
      </c>
      <c r="P43" s="35"/>
      <c r="Q43" s="35"/>
      <c r="R43" s="35"/>
      <c r="S43" s="60"/>
      <c r="T43" s="35"/>
      <c r="U43" s="35"/>
      <c r="V43" s="69"/>
      <c r="W43" s="32">
        <f t="shared" si="6"/>
        <v>125</v>
      </c>
      <c r="X43" s="210">
        <v>0</v>
      </c>
      <c r="Y43" s="210"/>
      <c r="Z43" s="210"/>
      <c r="AA43" s="209">
        <f t="shared" si="4"/>
        <v>0</v>
      </c>
      <c r="AB43" s="63">
        <f t="shared" si="15"/>
        <v>0</v>
      </c>
      <c r="AC43" s="63">
        <f t="shared" si="16"/>
        <v>0</v>
      </c>
      <c r="AD43" s="271"/>
      <c r="AE43" s="177"/>
      <c r="AF43" s="270">
        <f t="shared" si="5"/>
        <v>0</v>
      </c>
      <c r="AG43" s="270"/>
      <c r="AH43" s="270"/>
      <c r="AI43" s="33">
        <f t="shared" si="10"/>
        <v>125</v>
      </c>
      <c r="AJ43" s="64"/>
      <c r="AK43" s="64"/>
      <c r="AL43" s="41">
        <f t="shared" si="3"/>
        <v>125</v>
      </c>
      <c r="AM43" s="65"/>
      <c r="AN43" s="125">
        <f t="shared" si="13"/>
        <v>125</v>
      </c>
      <c r="AO43" s="126">
        <f t="shared" si="14"/>
        <v>0</v>
      </c>
      <c r="AP43" s="64"/>
      <c r="AQ43" s="64">
        <f t="shared" si="17"/>
        <v>125</v>
      </c>
      <c r="AR43" s="122" t="s">
        <v>233</v>
      </c>
      <c r="AS43" s="167"/>
      <c r="AT43" s="18">
        <f>AA43-13579</f>
        <v>-13579</v>
      </c>
      <c r="AU43">
        <f>13104</f>
        <v>13104</v>
      </c>
    </row>
    <row r="44" spans="1:49" ht="40.15" customHeight="1" x14ac:dyDescent="0.25">
      <c r="A44" s="30">
        <v>28</v>
      </c>
      <c r="B44" s="31" t="s">
        <v>73</v>
      </c>
      <c r="C44" s="221">
        <v>8112963</v>
      </c>
      <c r="D44" s="59"/>
      <c r="E44" s="59"/>
      <c r="F44" s="59"/>
      <c r="G44" s="59"/>
      <c r="H44" s="59"/>
      <c r="I44" s="59"/>
      <c r="J44" s="59"/>
      <c r="K44" s="59">
        <v>210</v>
      </c>
      <c r="L44" s="33"/>
      <c r="M44" s="34">
        <v>209.78</v>
      </c>
      <c r="N44" s="59">
        <v>0</v>
      </c>
      <c r="O44" s="35">
        <v>7575</v>
      </c>
      <c r="P44" s="35"/>
      <c r="Q44" s="35"/>
      <c r="R44" s="35"/>
      <c r="S44" s="60"/>
      <c r="T44" s="35"/>
      <c r="U44" s="61">
        <v>-7575</v>
      </c>
      <c r="V44" s="61"/>
      <c r="W44" s="32">
        <f t="shared" si="6"/>
        <v>0</v>
      </c>
      <c r="X44" s="210">
        <v>0</v>
      </c>
      <c r="Y44" s="210"/>
      <c r="Z44" s="210"/>
      <c r="AA44" s="209">
        <f t="shared" si="4"/>
        <v>0</v>
      </c>
      <c r="AB44" s="78">
        <v>0</v>
      </c>
      <c r="AC44" s="63">
        <v>0</v>
      </c>
      <c r="AD44" s="271"/>
      <c r="AE44" s="177"/>
      <c r="AF44" s="270">
        <f t="shared" si="5"/>
        <v>0</v>
      </c>
      <c r="AG44" s="270"/>
      <c r="AH44" s="270"/>
      <c r="AI44" s="33">
        <f t="shared" si="10"/>
        <v>0</v>
      </c>
      <c r="AJ44" s="64"/>
      <c r="AK44" s="64"/>
      <c r="AL44" s="41">
        <f t="shared" si="3"/>
        <v>0</v>
      </c>
      <c r="AM44" s="65"/>
      <c r="AN44" s="125">
        <f t="shared" si="13"/>
        <v>0</v>
      </c>
      <c r="AO44" s="127" t="e">
        <f t="shared" si="14"/>
        <v>#DIV/0!</v>
      </c>
      <c r="AP44" s="64"/>
      <c r="AQ44" s="64">
        <f t="shared" si="17"/>
        <v>0</v>
      </c>
      <c r="AR44" s="300" t="s">
        <v>230</v>
      </c>
      <c r="AS44" s="174" t="s">
        <v>74</v>
      </c>
      <c r="AU44" s="18">
        <f>AU43-AA43</f>
        <v>13104</v>
      </c>
    </row>
    <row r="45" spans="1:49" ht="37.5" customHeight="1" x14ac:dyDescent="0.25">
      <c r="A45" s="30">
        <v>29</v>
      </c>
      <c r="B45" s="31" t="s">
        <v>75</v>
      </c>
      <c r="C45" s="221" t="s">
        <v>131</v>
      </c>
      <c r="D45" s="59"/>
      <c r="E45" s="59"/>
      <c r="F45" s="59"/>
      <c r="G45" s="59"/>
      <c r="H45" s="59"/>
      <c r="I45" s="59"/>
      <c r="J45" s="59">
        <v>50</v>
      </c>
      <c r="K45" s="59">
        <v>954</v>
      </c>
      <c r="L45" s="33"/>
      <c r="M45" s="34">
        <v>898.03700000000003</v>
      </c>
      <c r="N45" s="59">
        <v>34000</v>
      </c>
      <c r="O45" s="35">
        <v>34000</v>
      </c>
      <c r="P45" s="35"/>
      <c r="Q45" s="35"/>
      <c r="R45" s="35"/>
      <c r="S45" s="60"/>
      <c r="T45" s="35"/>
      <c r="U45" s="35"/>
      <c r="V45" s="35">
        <v>-34000</v>
      </c>
      <c r="W45" s="32">
        <f t="shared" si="6"/>
        <v>0</v>
      </c>
      <c r="X45" s="210">
        <v>0</v>
      </c>
      <c r="Y45" s="210"/>
      <c r="Z45" s="210"/>
      <c r="AA45" s="209">
        <f t="shared" si="4"/>
        <v>0</v>
      </c>
      <c r="AB45" s="78">
        <v>0</v>
      </c>
      <c r="AC45" s="63">
        <f t="shared" si="16"/>
        <v>0</v>
      </c>
      <c r="AD45" s="271"/>
      <c r="AE45" s="177"/>
      <c r="AF45" s="270">
        <f t="shared" si="5"/>
        <v>0</v>
      </c>
      <c r="AG45" s="270"/>
      <c r="AH45" s="270"/>
      <c r="AI45" s="33">
        <f t="shared" si="10"/>
        <v>0</v>
      </c>
      <c r="AJ45" s="64"/>
      <c r="AK45" s="64"/>
      <c r="AL45" s="41">
        <f t="shared" si="3"/>
        <v>0</v>
      </c>
      <c r="AM45" s="65"/>
      <c r="AN45" s="125">
        <f t="shared" si="13"/>
        <v>0</v>
      </c>
      <c r="AO45" s="126" t="e">
        <f t="shared" si="14"/>
        <v>#DIV/0!</v>
      </c>
      <c r="AP45" s="67"/>
      <c r="AQ45" s="64">
        <f t="shared" si="17"/>
        <v>0</v>
      </c>
      <c r="AR45" s="299" t="s">
        <v>229</v>
      </c>
      <c r="AS45" s="166"/>
      <c r="AT45">
        <v>24869</v>
      </c>
    </row>
    <row r="46" spans="1:49" ht="39" customHeight="1" x14ac:dyDescent="0.25">
      <c r="A46" s="30">
        <v>30</v>
      </c>
      <c r="B46" s="31" t="s">
        <v>76</v>
      </c>
      <c r="C46" s="221">
        <v>8111982</v>
      </c>
      <c r="D46" s="59"/>
      <c r="E46" s="59"/>
      <c r="F46" s="59"/>
      <c r="G46" s="59"/>
      <c r="H46" s="59"/>
      <c r="I46" s="59"/>
      <c r="J46" s="59"/>
      <c r="K46" s="59">
        <v>300</v>
      </c>
      <c r="L46" s="33"/>
      <c r="M46" s="34">
        <v>264.39999999999998</v>
      </c>
      <c r="N46" s="59">
        <v>191</v>
      </c>
      <c r="O46" s="35">
        <v>21</v>
      </c>
      <c r="P46" s="35"/>
      <c r="Q46" s="35"/>
      <c r="R46" s="35"/>
      <c r="S46" s="35">
        <v>170</v>
      </c>
      <c r="T46" s="35"/>
      <c r="U46" s="35"/>
      <c r="V46" s="35"/>
      <c r="W46" s="32">
        <f t="shared" si="6"/>
        <v>191</v>
      </c>
      <c r="X46" s="210">
        <v>0</v>
      </c>
      <c r="Y46" s="210"/>
      <c r="Z46" s="210"/>
      <c r="AA46" s="209">
        <f t="shared" si="4"/>
        <v>0</v>
      </c>
      <c r="AB46" s="63">
        <f t="shared" si="15"/>
        <v>0</v>
      </c>
      <c r="AC46" s="63">
        <f t="shared" si="16"/>
        <v>0</v>
      </c>
      <c r="AD46" s="271"/>
      <c r="AE46" s="177"/>
      <c r="AF46" s="270">
        <f t="shared" si="5"/>
        <v>0</v>
      </c>
      <c r="AG46" s="270"/>
      <c r="AH46" s="270"/>
      <c r="AI46" s="33">
        <f t="shared" si="10"/>
        <v>191</v>
      </c>
      <c r="AJ46" s="64"/>
      <c r="AK46" s="64"/>
      <c r="AL46" s="41">
        <f t="shared" si="3"/>
        <v>191</v>
      </c>
      <c r="AM46" s="65"/>
      <c r="AN46" s="125">
        <f t="shared" si="13"/>
        <v>191</v>
      </c>
      <c r="AO46" s="126">
        <f t="shared" si="14"/>
        <v>0</v>
      </c>
      <c r="AP46" s="64"/>
      <c r="AQ46" s="64">
        <f t="shared" si="17"/>
        <v>191</v>
      </c>
      <c r="AR46" s="301" t="s">
        <v>231</v>
      </c>
      <c r="AS46" s="167"/>
      <c r="AT46" s="19">
        <f>10338</f>
        <v>10338</v>
      </c>
      <c r="AV46">
        <v>158</v>
      </c>
    </row>
    <row r="47" spans="1:49" ht="61.9" customHeight="1" x14ac:dyDescent="0.25">
      <c r="A47" s="30">
        <v>31</v>
      </c>
      <c r="B47" s="31" t="s">
        <v>78</v>
      </c>
      <c r="C47" s="221">
        <v>8101113</v>
      </c>
      <c r="D47" s="59"/>
      <c r="E47" s="59"/>
      <c r="F47" s="59"/>
      <c r="G47" s="59"/>
      <c r="H47" s="59"/>
      <c r="I47" s="59"/>
      <c r="J47" s="59"/>
      <c r="K47" s="59">
        <v>1014</v>
      </c>
      <c r="L47" s="33"/>
      <c r="M47" s="34">
        <v>331.15</v>
      </c>
      <c r="N47" s="59">
        <v>33</v>
      </c>
      <c r="O47" s="35">
        <v>33</v>
      </c>
      <c r="P47" s="35"/>
      <c r="Q47" s="35"/>
      <c r="R47" s="35"/>
      <c r="S47" s="60"/>
      <c r="T47" s="35"/>
      <c r="U47" s="61"/>
      <c r="V47" s="62"/>
      <c r="W47" s="32">
        <f t="shared" si="6"/>
        <v>33</v>
      </c>
      <c r="X47" s="210">
        <v>0</v>
      </c>
      <c r="Y47" s="210"/>
      <c r="Z47" s="210"/>
      <c r="AA47" s="209">
        <f t="shared" si="4"/>
        <v>0</v>
      </c>
      <c r="AB47" s="63">
        <f t="shared" si="15"/>
        <v>0</v>
      </c>
      <c r="AC47" s="63">
        <f t="shared" si="16"/>
        <v>0</v>
      </c>
      <c r="AD47" s="271"/>
      <c r="AE47" s="177"/>
      <c r="AF47" s="270">
        <f t="shared" si="5"/>
        <v>0</v>
      </c>
      <c r="AG47" s="270"/>
      <c r="AH47" s="270"/>
      <c r="AI47" s="33">
        <f t="shared" si="10"/>
        <v>33</v>
      </c>
      <c r="AJ47" s="64"/>
      <c r="AK47" s="64"/>
      <c r="AL47" s="41">
        <f t="shared" si="3"/>
        <v>33</v>
      </c>
      <c r="AM47" s="65"/>
      <c r="AN47" s="125">
        <f t="shared" si="13"/>
        <v>33</v>
      </c>
      <c r="AO47" s="126">
        <f t="shared" si="14"/>
        <v>0</v>
      </c>
      <c r="AP47" s="67"/>
      <c r="AQ47" s="64">
        <f t="shared" si="17"/>
        <v>33</v>
      </c>
      <c r="AR47" s="122" t="s">
        <v>232</v>
      </c>
      <c r="AS47" s="166"/>
      <c r="AV47">
        <v>55</v>
      </c>
    </row>
    <row r="48" spans="1:49" ht="48" customHeight="1" x14ac:dyDescent="0.25">
      <c r="A48" s="30">
        <v>32</v>
      </c>
      <c r="B48" s="31" t="s">
        <v>79</v>
      </c>
      <c r="C48" s="221">
        <v>8101117</v>
      </c>
      <c r="D48" s="59"/>
      <c r="E48" s="59"/>
      <c r="F48" s="59"/>
      <c r="G48" s="59"/>
      <c r="H48" s="59"/>
      <c r="I48" s="59"/>
      <c r="J48" s="59"/>
      <c r="K48" s="59">
        <v>500</v>
      </c>
      <c r="L48" s="33"/>
      <c r="M48" s="34">
        <v>115.9</v>
      </c>
      <c r="N48" s="59">
        <v>10</v>
      </c>
      <c r="O48" s="35">
        <v>10</v>
      </c>
      <c r="P48" s="35"/>
      <c r="Q48" s="35"/>
      <c r="R48" s="35"/>
      <c r="S48" s="60"/>
      <c r="T48" s="35"/>
      <c r="U48" s="61"/>
      <c r="V48" s="62"/>
      <c r="W48" s="32">
        <f t="shared" si="6"/>
        <v>10</v>
      </c>
      <c r="X48" s="210">
        <v>0</v>
      </c>
      <c r="Y48" s="210"/>
      <c r="Z48" s="210"/>
      <c r="AA48" s="209">
        <f t="shared" si="4"/>
        <v>0</v>
      </c>
      <c r="AB48" s="63">
        <f t="shared" si="15"/>
        <v>0</v>
      </c>
      <c r="AC48" s="63">
        <f t="shared" si="16"/>
        <v>0</v>
      </c>
      <c r="AD48" s="270"/>
      <c r="AE48" s="177"/>
      <c r="AF48" s="270">
        <f t="shared" si="5"/>
        <v>0</v>
      </c>
      <c r="AG48" s="270"/>
      <c r="AH48" s="270"/>
      <c r="AI48" s="33">
        <f t="shared" si="10"/>
        <v>10</v>
      </c>
      <c r="AJ48" s="64"/>
      <c r="AK48" s="64"/>
      <c r="AL48" s="41">
        <f t="shared" si="3"/>
        <v>10</v>
      </c>
      <c r="AM48" s="65"/>
      <c r="AN48" s="125">
        <f t="shared" si="13"/>
        <v>10</v>
      </c>
      <c r="AO48" s="126">
        <f t="shared" si="14"/>
        <v>0</v>
      </c>
      <c r="AP48" s="67"/>
      <c r="AQ48" s="64">
        <f t="shared" si="17"/>
        <v>10</v>
      </c>
      <c r="AR48" s="301" t="s">
        <v>231</v>
      </c>
      <c r="AS48" s="166"/>
    </row>
    <row r="49" spans="1:51" ht="46.9" customHeight="1" x14ac:dyDescent="0.25">
      <c r="A49" s="30">
        <v>33</v>
      </c>
      <c r="B49" s="31" t="s">
        <v>80</v>
      </c>
      <c r="C49" s="221">
        <v>8100890</v>
      </c>
      <c r="D49" s="59"/>
      <c r="E49" s="59"/>
      <c r="F49" s="59"/>
      <c r="G49" s="59"/>
      <c r="H49" s="59"/>
      <c r="I49" s="59"/>
      <c r="J49" s="59"/>
      <c r="K49" s="59">
        <v>1000</v>
      </c>
      <c r="L49" s="33"/>
      <c r="M49" s="34">
        <v>173.7</v>
      </c>
      <c r="N49" s="59">
        <v>10</v>
      </c>
      <c r="O49" s="35">
        <v>10</v>
      </c>
      <c r="P49" s="35"/>
      <c r="Q49" s="35"/>
      <c r="R49" s="35"/>
      <c r="S49" s="60"/>
      <c r="T49" s="35"/>
      <c r="U49" s="35"/>
      <c r="V49" s="35"/>
      <c r="W49" s="32">
        <f t="shared" si="6"/>
        <v>10</v>
      </c>
      <c r="X49" s="210">
        <v>0</v>
      </c>
      <c r="Y49" s="210"/>
      <c r="Z49" s="210"/>
      <c r="AA49" s="209">
        <f t="shared" si="4"/>
        <v>0</v>
      </c>
      <c r="AB49" s="63">
        <f t="shared" si="15"/>
        <v>0</v>
      </c>
      <c r="AC49" s="63">
        <f t="shared" si="16"/>
        <v>0</v>
      </c>
      <c r="AD49" s="270"/>
      <c r="AE49" s="177"/>
      <c r="AF49" s="270">
        <f t="shared" si="5"/>
        <v>0</v>
      </c>
      <c r="AG49" s="270"/>
      <c r="AH49" s="270"/>
      <c r="AI49" s="33">
        <f t="shared" si="10"/>
        <v>10</v>
      </c>
      <c r="AJ49" s="64"/>
      <c r="AK49" s="64"/>
      <c r="AL49" s="41">
        <f t="shared" si="3"/>
        <v>10</v>
      </c>
      <c r="AM49" s="65"/>
      <c r="AN49" s="125">
        <f t="shared" si="13"/>
        <v>10</v>
      </c>
      <c r="AO49" s="126">
        <f t="shared" si="14"/>
        <v>0</v>
      </c>
      <c r="AP49" s="64"/>
      <c r="AQ49" s="64">
        <f t="shared" si="17"/>
        <v>10</v>
      </c>
      <c r="AR49" s="122" t="s">
        <v>233</v>
      </c>
      <c r="AS49" s="166"/>
    </row>
    <row r="50" spans="1:51" ht="37.15" customHeight="1" x14ac:dyDescent="0.25">
      <c r="A50" s="30">
        <v>34</v>
      </c>
      <c r="B50" s="31" t="s">
        <v>81</v>
      </c>
      <c r="C50" s="221">
        <v>8101116</v>
      </c>
      <c r="D50" s="59"/>
      <c r="E50" s="59"/>
      <c r="F50" s="59"/>
      <c r="G50" s="59"/>
      <c r="H50" s="59"/>
      <c r="I50" s="59"/>
      <c r="J50" s="59"/>
      <c r="K50" s="59">
        <v>700</v>
      </c>
      <c r="L50" s="33"/>
      <c r="M50" s="34">
        <v>239.99999999999997</v>
      </c>
      <c r="N50" s="59">
        <v>20</v>
      </c>
      <c r="O50" s="35">
        <v>20</v>
      </c>
      <c r="P50" s="35"/>
      <c r="Q50" s="35"/>
      <c r="R50" s="35"/>
      <c r="S50" s="60"/>
      <c r="T50" s="35"/>
      <c r="U50" s="61"/>
      <c r="V50" s="62"/>
      <c r="W50" s="32">
        <f t="shared" si="6"/>
        <v>20</v>
      </c>
      <c r="X50" s="210">
        <v>0</v>
      </c>
      <c r="Y50" s="210"/>
      <c r="Z50" s="210"/>
      <c r="AA50" s="209">
        <f t="shared" si="4"/>
        <v>0</v>
      </c>
      <c r="AB50" s="63">
        <f t="shared" si="15"/>
        <v>0</v>
      </c>
      <c r="AC50" s="63">
        <f t="shared" si="16"/>
        <v>0</v>
      </c>
      <c r="AD50" s="270"/>
      <c r="AE50" s="177"/>
      <c r="AF50" s="270">
        <f t="shared" si="5"/>
        <v>0</v>
      </c>
      <c r="AG50" s="270"/>
      <c r="AH50" s="270"/>
      <c r="AI50" s="33">
        <f t="shared" si="10"/>
        <v>20</v>
      </c>
      <c r="AJ50" s="64"/>
      <c r="AK50" s="64"/>
      <c r="AL50" s="41">
        <f t="shared" si="3"/>
        <v>20</v>
      </c>
      <c r="AM50" s="65"/>
      <c r="AN50" s="125">
        <f t="shared" si="13"/>
        <v>20</v>
      </c>
      <c r="AO50" s="126">
        <f t="shared" si="14"/>
        <v>0</v>
      </c>
      <c r="AP50" s="67"/>
      <c r="AQ50" s="64">
        <f t="shared" si="17"/>
        <v>20</v>
      </c>
      <c r="AR50" s="299" t="s">
        <v>229</v>
      </c>
      <c r="AS50" s="166"/>
    </row>
    <row r="51" spans="1:51" ht="47.45" customHeight="1" x14ac:dyDescent="0.25">
      <c r="A51" s="30">
        <v>35</v>
      </c>
      <c r="B51" s="31" t="s">
        <v>82</v>
      </c>
      <c r="C51" s="221">
        <v>8101115</v>
      </c>
      <c r="D51" s="59"/>
      <c r="E51" s="59"/>
      <c r="F51" s="59"/>
      <c r="G51" s="59"/>
      <c r="H51" s="59"/>
      <c r="I51" s="59"/>
      <c r="J51" s="59"/>
      <c r="K51" s="59">
        <v>1556</v>
      </c>
      <c r="L51" s="33"/>
      <c r="M51" s="34">
        <v>306.99099999999999</v>
      </c>
      <c r="N51" s="59">
        <v>47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6"/>
        <v>50</v>
      </c>
      <c r="X51" s="210">
        <v>0</v>
      </c>
      <c r="Y51" s="210"/>
      <c r="Z51" s="210"/>
      <c r="AA51" s="209">
        <f t="shared" si="4"/>
        <v>0</v>
      </c>
      <c r="AB51" s="63">
        <f t="shared" si="15"/>
        <v>0</v>
      </c>
      <c r="AC51" s="63">
        <f t="shared" si="16"/>
        <v>0</v>
      </c>
      <c r="AD51" s="270"/>
      <c r="AE51" s="177"/>
      <c r="AF51" s="270">
        <f t="shared" si="5"/>
        <v>0</v>
      </c>
      <c r="AG51" s="270"/>
      <c r="AH51" s="270"/>
      <c r="AI51" s="33">
        <f t="shared" ref="AI51:AI74" si="18">W51-AA51</f>
        <v>50</v>
      </c>
      <c r="AJ51" s="64"/>
      <c r="AK51" s="64"/>
      <c r="AL51" s="41">
        <f t="shared" si="3"/>
        <v>50</v>
      </c>
      <c r="AM51" s="65"/>
      <c r="AN51" s="125">
        <f t="shared" si="13"/>
        <v>50</v>
      </c>
      <c r="AO51" s="126">
        <f t="shared" si="14"/>
        <v>0</v>
      </c>
      <c r="AP51" s="67"/>
      <c r="AQ51" s="64">
        <f t="shared" si="17"/>
        <v>50</v>
      </c>
      <c r="AR51" s="299" t="s">
        <v>229</v>
      </c>
      <c r="AS51" s="166"/>
    </row>
    <row r="52" spans="1:51" ht="60" x14ac:dyDescent="0.25">
      <c r="A52" s="30">
        <v>36</v>
      </c>
      <c r="B52" s="31" t="s">
        <v>204</v>
      </c>
      <c r="C52" s="221">
        <v>8101736</v>
      </c>
      <c r="D52" s="59"/>
      <c r="E52" s="59"/>
      <c r="F52" s="59"/>
      <c r="G52" s="59"/>
      <c r="H52" s="59"/>
      <c r="I52" s="59"/>
      <c r="J52" s="59"/>
      <c r="K52" s="59">
        <v>3750</v>
      </c>
      <c r="L52" s="33"/>
      <c r="M52" s="34">
        <v>507.4</v>
      </c>
      <c r="N52" s="59">
        <v>50</v>
      </c>
      <c r="O52" s="35">
        <v>50</v>
      </c>
      <c r="P52" s="35"/>
      <c r="Q52" s="35"/>
      <c r="R52" s="35"/>
      <c r="S52" s="60"/>
      <c r="T52" s="35"/>
      <c r="U52" s="61"/>
      <c r="V52" s="62"/>
      <c r="W52" s="32">
        <f>SUM(O52:V52)</f>
        <v>50</v>
      </c>
      <c r="X52" s="210">
        <v>0</v>
      </c>
      <c r="Y52" s="210">
        <v>0</v>
      </c>
      <c r="Z52" s="210"/>
      <c r="AA52" s="209">
        <f t="shared" si="4"/>
        <v>0</v>
      </c>
      <c r="AB52" s="63">
        <f t="shared" si="15"/>
        <v>0</v>
      </c>
      <c r="AC52" s="63">
        <f t="shared" si="16"/>
        <v>0</v>
      </c>
      <c r="AD52" s="270"/>
      <c r="AE52" s="177">
        <v>0</v>
      </c>
      <c r="AF52" s="270">
        <f t="shared" si="5"/>
        <v>0</v>
      </c>
      <c r="AG52" s="270"/>
      <c r="AH52" s="270"/>
      <c r="AI52" s="33">
        <f t="shared" si="18"/>
        <v>50</v>
      </c>
      <c r="AJ52" s="64"/>
      <c r="AK52" s="64"/>
      <c r="AL52" s="41">
        <f t="shared" si="3"/>
        <v>50</v>
      </c>
      <c r="AM52" s="65"/>
      <c r="AN52" s="125">
        <f t="shared" si="13"/>
        <v>50</v>
      </c>
      <c r="AO52" s="126">
        <f t="shared" si="14"/>
        <v>0</v>
      </c>
      <c r="AP52" s="67"/>
      <c r="AQ52" s="64">
        <f t="shared" si="17"/>
        <v>50</v>
      </c>
      <c r="AR52" s="301" t="s">
        <v>231</v>
      </c>
      <c r="AS52" s="171"/>
      <c r="AY52" s="176">
        <f>763431166</f>
        <v>763431166</v>
      </c>
    </row>
    <row r="53" spans="1:51" ht="30" x14ac:dyDescent="0.25">
      <c r="A53" s="30">
        <v>37</v>
      </c>
      <c r="B53" s="31" t="s">
        <v>84</v>
      </c>
      <c r="C53" s="221">
        <v>8112949</v>
      </c>
      <c r="D53" s="59"/>
      <c r="E53" s="59"/>
      <c r="F53" s="59"/>
      <c r="G53" s="59"/>
      <c r="H53" s="59"/>
      <c r="I53" s="59"/>
      <c r="J53" s="59"/>
      <c r="K53" s="59">
        <v>250</v>
      </c>
      <c r="L53" s="33"/>
      <c r="M53" s="34">
        <v>182.3</v>
      </c>
      <c r="N53" s="59">
        <v>15</v>
      </c>
      <c r="O53" s="35">
        <v>15</v>
      </c>
      <c r="P53" s="35"/>
      <c r="Q53" s="35"/>
      <c r="R53" s="35"/>
      <c r="S53" s="60"/>
      <c r="T53" s="35"/>
      <c r="U53" s="61"/>
      <c r="V53" s="61"/>
      <c r="W53" s="32">
        <f t="shared" si="6"/>
        <v>15</v>
      </c>
      <c r="X53" s="210">
        <v>0</v>
      </c>
      <c r="Y53" s="210"/>
      <c r="Z53" s="210"/>
      <c r="AA53" s="209">
        <f t="shared" si="4"/>
        <v>0</v>
      </c>
      <c r="AB53" s="63">
        <f t="shared" si="15"/>
        <v>0</v>
      </c>
      <c r="AC53" s="63">
        <f t="shared" si="16"/>
        <v>0</v>
      </c>
      <c r="AD53" s="270"/>
      <c r="AE53" s="177"/>
      <c r="AF53" s="270">
        <f t="shared" si="5"/>
        <v>0</v>
      </c>
      <c r="AG53" s="270"/>
      <c r="AH53" s="270"/>
      <c r="AI53" s="33">
        <f t="shared" si="18"/>
        <v>15</v>
      </c>
      <c r="AJ53" s="64"/>
      <c r="AK53" s="64"/>
      <c r="AL53" s="41">
        <f t="shared" si="3"/>
        <v>15</v>
      </c>
      <c r="AM53" s="65"/>
      <c r="AN53" s="125">
        <f t="shared" si="13"/>
        <v>15</v>
      </c>
      <c r="AO53" s="126">
        <f t="shared" si="14"/>
        <v>0</v>
      </c>
      <c r="AP53" s="67"/>
      <c r="AQ53" s="64">
        <f t="shared" si="17"/>
        <v>15</v>
      </c>
      <c r="AR53" s="301" t="s">
        <v>231</v>
      </c>
      <c r="AS53" s="167"/>
      <c r="AY53" s="176">
        <f>46268556</f>
        <v>46268556</v>
      </c>
    </row>
    <row r="54" spans="1:51" ht="57.6" customHeight="1" x14ac:dyDescent="0.25">
      <c r="A54" s="30">
        <v>38</v>
      </c>
      <c r="B54" s="31" t="s">
        <v>85</v>
      </c>
      <c r="C54" s="221">
        <v>8111980</v>
      </c>
      <c r="D54" s="59"/>
      <c r="E54" s="59"/>
      <c r="F54" s="59"/>
      <c r="G54" s="59"/>
      <c r="H54" s="59"/>
      <c r="I54" s="59"/>
      <c r="J54" s="59"/>
      <c r="K54" s="59">
        <v>418</v>
      </c>
      <c r="L54" s="33"/>
      <c r="M54" s="34">
        <v>359.4</v>
      </c>
      <c r="N54" s="59">
        <v>33</v>
      </c>
      <c r="O54" s="35">
        <v>33</v>
      </c>
      <c r="P54" s="35"/>
      <c r="Q54" s="35"/>
      <c r="R54" s="35"/>
      <c r="S54" s="60"/>
      <c r="T54" s="35"/>
      <c r="U54" s="61"/>
      <c r="V54" s="61"/>
      <c r="W54" s="32">
        <f t="shared" si="6"/>
        <v>33</v>
      </c>
      <c r="X54" s="210">
        <v>0</v>
      </c>
      <c r="Y54" s="210"/>
      <c r="Z54" s="210"/>
      <c r="AA54" s="209">
        <f t="shared" si="4"/>
        <v>0</v>
      </c>
      <c r="AB54" s="63">
        <f t="shared" si="15"/>
        <v>0</v>
      </c>
      <c r="AC54" s="63">
        <f t="shared" si="16"/>
        <v>0</v>
      </c>
      <c r="AD54" s="270"/>
      <c r="AE54" s="177"/>
      <c r="AF54" s="270">
        <f t="shared" si="5"/>
        <v>0</v>
      </c>
      <c r="AG54" s="270"/>
      <c r="AH54" s="270"/>
      <c r="AI54" s="33">
        <f t="shared" si="18"/>
        <v>33</v>
      </c>
      <c r="AJ54" s="64"/>
      <c r="AK54" s="64"/>
      <c r="AL54" s="41">
        <f t="shared" si="3"/>
        <v>33</v>
      </c>
      <c r="AM54" s="65"/>
      <c r="AN54" s="125">
        <f t="shared" si="13"/>
        <v>33</v>
      </c>
      <c r="AO54" s="126">
        <f t="shared" si="14"/>
        <v>0</v>
      </c>
      <c r="AP54" s="67"/>
      <c r="AQ54" s="64">
        <f t="shared" si="17"/>
        <v>33</v>
      </c>
      <c r="AR54" s="122" t="s">
        <v>232</v>
      </c>
      <c r="AS54" s="167"/>
    </row>
    <row r="55" spans="1:51" ht="85.9" customHeight="1" x14ac:dyDescent="0.25">
      <c r="A55" s="30">
        <v>39</v>
      </c>
      <c r="B55" s="31" t="s">
        <v>86</v>
      </c>
      <c r="C55" s="221">
        <v>8113485</v>
      </c>
      <c r="D55" s="59"/>
      <c r="E55" s="59"/>
      <c r="F55" s="59"/>
      <c r="G55" s="59"/>
      <c r="H55" s="59"/>
      <c r="I55" s="59"/>
      <c r="J55" s="59"/>
      <c r="K55" s="59">
        <v>500</v>
      </c>
      <c r="L55" s="33"/>
      <c r="M55" s="34">
        <v>442</v>
      </c>
      <c r="N55" s="59">
        <v>50</v>
      </c>
      <c r="O55" s="35">
        <v>50</v>
      </c>
      <c r="P55" s="35"/>
      <c r="Q55" s="35"/>
      <c r="R55" s="35"/>
      <c r="S55" s="60"/>
      <c r="T55" s="35"/>
      <c r="U55" s="35"/>
      <c r="V55" s="69"/>
      <c r="W55" s="32">
        <f t="shared" si="6"/>
        <v>50</v>
      </c>
      <c r="X55" s="210">
        <v>0</v>
      </c>
      <c r="Y55" s="210"/>
      <c r="Z55" s="210"/>
      <c r="AA55" s="209">
        <f t="shared" si="4"/>
        <v>0</v>
      </c>
      <c r="AB55" s="63">
        <f t="shared" si="15"/>
        <v>0</v>
      </c>
      <c r="AC55" s="63">
        <f t="shared" si="16"/>
        <v>0</v>
      </c>
      <c r="AD55" s="270"/>
      <c r="AE55" s="177"/>
      <c r="AF55" s="270">
        <f t="shared" si="5"/>
        <v>0</v>
      </c>
      <c r="AG55" s="270"/>
      <c r="AH55" s="270"/>
      <c r="AI55" s="33">
        <f t="shared" si="18"/>
        <v>50</v>
      </c>
      <c r="AJ55" s="64"/>
      <c r="AK55" s="64"/>
      <c r="AL55" s="41">
        <f t="shared" si="3"/>
        <v>50</v>
      </c>
      <c r="AM55" s="65"/>
      <c r="AN55" s="125">
        <f t="shared" si="13"/>
        <v>50</v>
      </c>
      <c r="AO55" s="126">
        <f t="shared" si="14"/>
        <v>0</v>
      </c>
      <c r="AP55" s="67"/>
      <c r="AQ55" s="64">
        <f t="shared" si="17"/>
        <v>50</v>
      </c>
      <c r="AR55" s="301" t="s">
        <v>231</v>
      </c>
      <c r="AS55" s="167"/>
    </row>
    <row r="56" spans="1:51" ht="48" customHeight="1" x14ac:dyDescent="0.25">
      <c r="A56" s="30">
        <v>40</v>
      </c>
      <c r="B56" s="31" t="s">
        <v>87</v>
      </c>
      <c r="C56" s="221">
        <v>8113487</v>
      </c>
      <c r="D56" s="59"/>
      <c r="E56" s="59"/>
      <c r="F56" s="59"/>
      <c r="G56" s="59"/>
      <c r="H56" s="59"/>
      <c r="I56" s="59"/>
      <c r="J56" s="59"/>
      <c r="K56" s="59">
        <v>2000</v>
      </c>
      <c r="L56" s="33"/>
      <c r="M56" s="34">
        <v>229</v>
      </c>
      <c r="N56" s="59">
        <v>37</v>
      </c>
      <c r="O56" s="35">
        <v>50</v>
      </c>
      <c r="P56" s="35"/>
      <c r="Q56" s="35"/>
      <c r="R56" s="35"/>
      <c r="S56" s="60"/>
      <c r="T56" s="35"/>
      <c r="U56" s="61"/>
      <c r="V56" s="62"/>
      <c r="W56" s="32">
        <f t="shared" si="6"/>
        <v>50</v>
      </c>
      <c r="X56" s="210">
        <v>0</v>
      </c>
      <c r="Y56" s="210"/>
      <c r="Z56" s="210"/>
      <c r="AA56" s="209">
        <f t="shared" si="4"/>
        <v>0</v>
      </c>
      <c r="AB56" s="63">
        <f t="shared" si="15"/>
        <v>0</v>
      </c>
      <c r="AC56" s="63">
        <f t="shared" si="16"/>
        <v>0</v>
      </c>
      <c r="AD56" s="270"/>
      <c r="AE56" s="177"/>
      <c r="AF56" s="270">
        <f t="shared" si="5"/>
        <v>0</v>
      </c>
      <c r="AG56" s="270"/>
      <c r="AH56" s="270"/>
      <c r="AI56" s="33">
        <f t="shared" si="18"/>
        <v>50</v>
      </c>
      <c r="AJ56" s="64"/>
      <c r="AK56" s="64"/>
      <c r="AL56" s="41">
        <f t="shared" si="3"/>
        <v>50</v>
      </c>
      <c r="AM56" s="65"/>
      <c r="AN56" s="125">
        <f t="shared" si="13"/>
        <v>50</v>
      </c>
      <c r="AO56" s="126">
        <f t="shared" si="14"/>
        <v>0</v>
      </c>
      <c r="AP56" s="67"/>
      <c r="AQ56" s="64">
        <f t="shared" si="17"/>
        <v>50</v>
      </c>
      <c r="AR56" s="299" t="s">
        <v>229</v>
      </c>
      <c r="AS56" s="167"/>
    </row>
    <row r="57" spans="1:51" ht="46.15" customHeight="1" x14ac:dyDescent="0.25">
      <c r="A57" s="30">
        <v>41</v>
      </c>
      <c r="B57" s="31" t="s">
        <v>88</v>
      </c>
      <c r="C57" s="221">
        <v>8112948</v>
      </c>
      <c r="D57" s="59"/>
      <c r="E57" s="59"/>
      <c r="F57" s="59"/>
      <c r="G57" s="59"/>
      <c r="H57" s="59"/>
      <c r="I57" s="59"/>
      <c r="J57" s="59"/>
      <c r="K57" s="59">
        <v>284</v>
      </c>
      <c r="L57" s="33"/>
      <c r="M57" s="34">
        <v>129.5</v>
      </c>
      <c r="N57" s="59">
        <v>6</v>
      </c>
      <c r="O57" s="35">
        <v>6</v>
      </c>
      <c r="P57" s="35"/>
      <c r="Q57" s="35"/>
      <c r="R57" s="35"/>
      <c r="S57" s="60"/>
      <c r="T57" s="35"/>
      <c r="U57" s="61"/>
      <c r="V57" s="61"/>
      <c r="W57" s="32">
        <f t="shared" si="6"/>
        <v>6</v>
      </c>
      <c r="X57" s="210">
        <v>0</v>
      </c>
      <c r="Y57" s="210"/>
      <c r="Z57" s="210"/>
      <c r="AA57" s="209">
        <f t="shared" si="4"/>
        <v>0</v>
      </c>
      <c r="AB57" s="63">
        <f t="shared" si="15"/>
        <v>0</v>
      </c>
      <c r="AC57" s="63">
        <f t="shared" si="16"/>
        <v>0</v>
      </c>
      <c r="AD57" s="270"/>
      <c r="AE57" s="177"/>
      <c r="AF57" s="270">
        <f t="shared" si="5"/>
        <v>0</v>
      </c>
      <c r="AG57" s="270"/>
      <c r="AH57" s="270"/>
      <c r="AI57" s="33">
        <f t="shared" si="18"/>
        <v>6</v>
      </c>
      <c r="AJ57" s="64"/>
      <c r="AK57" s="64"/>
      <c r="AL57" s="41">
        <f t="shared" si="3"/>
        <v>6</v>
      </c>
      <c r="AM57" s="65"/>
      <c r="AN57" s="125">
        <f t="shared" si="13"/>
        <v>6</v>
      </c>
      <c r="AO57" s="126">
        <f t="shared" si="14"/>
        <v>0</v>
      </c>
      <c r="AP57" s="67"/>
      <c r="AQ57" s="64">
        <f t="shared" si="17"/>
        <v>6</v>
      </c>
      <c r="AR57" s="122" t="s">
        <v>233</v>
      </c>
      <c r="AS57" s="167"/>
    </row>
    <row r="58" spans="1:51" ht="51.6" customHeight="1" x14ac:dyDescent="0.25">
      <c r="A58" s="30">
        <v>42</v>
      </c>
      <c r="B58" s="31" t="s">
        <v>89</v>
      </c>
      <c r="C58" s="221">
        <v>8118634</v>
      </c>
      <c r="D58" s="59"/>
      <c r="E58" s="59"/>
      <c r="F58" s="59"/>
      <c r="G58" s="59"/>
      <c r="H58" s="59"/>
      <c r="I58" s="59"/>
      <c r="J58" s="59"/>
      <c r="K58" s="59">
        <v>460</v>
      </c>
      <c r="L58" s="33"/>
      <c r="M58" s="34">
        <v>388.14</v>
      </c>
      <c r="N58" s="59">
        <v>23</v>
      </c>
      <c r="O58" s="35">
        <v>23</v>
      </c>
      <c r="P58" s="35"/>
      <c r="Q58" s="35"/>
      <c r="R58" s="35"/>
      <c r="S58" s="60"/>
      <c r="T58" s="35"/>
      <c r="U58" s="61"/>
      <c r="V58" s="61"/>
      <c r="W58" s="32">
        <f t="shared" si="6"/>
        <v>23</v>
      </c>
      <c r="X58" s="210">
        <v>0</v>
      </c>
      <c r="Y58" s="210"/>
      <c r="Z58" s="210"/>
      <c r="AA58" s="209">
        <f t="shared" si="4"/>
        <v>0</v>
      </c>
      <c r="AB58" s="63">
        <f t="shared" si="15"/>
        <v>0</v>
      </c>
      <c r="AC58" s="63">
        <f t="shared" si="16"/>
        <v>0</v>
      </c>
      <c r="AD58" s="270"/>
      <c r="AE58" s="177"/>
      <c r="AF58" s="270">
        <f t="shared" si="5"/>
        <v>0</v>
      </c>
      <c r="AG58" s="270"/>
      <c r="AH58" s="270"/>
      <c r="AI58" s="33">
        <f t="shared" si="18"/>
        <v>23</v>
      </c>
      <c r="AJ58" s="64"/>
      <c r="AK58" s="64"/>
      <c r="AL58" s="41">
        <f t="shared" si="3"/>
        <v>23</v>
      </c>
      <c r="AM58" s="65"/>
      <c r="AN58" s="125">
        <f t="shared" si="13"/>
        <v>23</v>
      </c>
      <c r="AO58" s="126">
        <f t="shared" si="14"/>
        <v>0</v>
      </c>
      <c r="AP58" s="67"/>
      <c r="AQ58" s="64">
        <f t="shared" si="17"/>
        <v>23</v>
      </c>
      <c r="AR58" s="122" t="s">
        <v>232</v>
      </c>
      <c r="AS58" s="167"/>
    </row>
    <row r="59" spans="1:51" ht="60.6" customHeight="1" x14ac:dyDescent="0.25">
      <c r="A59" s="30">
        <v>43</v>
      </c>
      <c r="B59" s="31" t="s">
        <v>90</v>
      </c>
      <c r="C59" s="221">
        <v>8111984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531</v>
      </c>
      <c r="N59" s="59">
        <v>25</v>
      </c>
      <c r="O59" s="35">
        <v>25</v>
      </c>
      <c r="P59" s="35"/>
      <c r="Q59" s="35"/>
      <c r="R59" s="35"/>
      <c r="S59" s="60"/>
      <c r="T59" s="35"/>
      <c r="U59" s="61"/>
      <c r="V59" s="62"/>
      <c r="W59" s="32">
        <f t="shared" si="6"/>
        <v>25</v>
      </c>
      <c r="X59" s="210">
        <v>0</v>
      </c>
      <c r="Y59" s="210"/>
      <c r="Z59" s="210"/>
      <c r="AA59" s="209">
        <f t="shared" si="4"/>
        <v>0</v>
      </c>
      <c r="AB59" s="63">
        <f t="shared" si="15"/>
        <v>0</v>
      </c>
      <c r="AC59" s="63">
        <f t="shared" si="16"/>
        <v>0</v>
      </c>
      <c r="AD59" s="270"/>
      <c r="AE59" s="177"/>
      <c r="AF59" s="270">
        <f t="shared" si="5"/>
        <v>0</v>
      </c>
      <c r="AG59" s="270"/>
      <c r="AH59" s="270"/>
      <c r="AI59" s="33">
        <f t="shared" si="18"/>
        <v>25</v>
      </c>
      <c r="AJ59" s="64"/>
      <c r="AK59" s="64"/>
      <c r="AL59" s="41">
        <f t="shared" si="3"/>
        <v>25</v>
      </c>
      <c r="AM59" s="65"/>
      <c r="AN59" s="125">
        <f t="shared" si="13"/>
        <v>25</v>
      </c>
      <c r="AO59" s="126">
        <f t="shared" si="14"/>
        <v>0</v>
      </c>
      <c r="AP59" s="67"/>
      <c r="AQ59" s="64">
        <f t="shared" si="17"/>
        <v>25</v>
      </c>
      <c r="AR59" s="301" t="s">
        <v>231</v>
      </c>
      <c r="AS59" s="167"/>
    </row>
    <row r="60" spans="1:51" ht="61.9" customHeight="1" x14ac:dyDescent="0.25">
      <c r="A60" s="30">
        <v>44</v>
      </c>
      <c r="B60" s="31" t="s">
        <v>91</v>
      </c>
      <c r="C60" s="221">
        <v>8111979</v>
      </c>
      <c r="D60" s="59"/>
      <c r="E60" s="59"/>
      <c r="F60" s="59"/>
      <c r="G60" s="59"/>
      <c r="H60" s="59"/>
      <c r="I60" s="59"/>
      <c r="J60" s="59"/>
      <c r="K60" s="59">
        <v>3000</v>
      </c>
      <c r="L60" s="33"/>
      <c r="M60" s="34">
        <v>547.70000000000005</v>
      </c>
      <c r="N60" s="59">
        <v>265</v>
      </c>
      <c r="O60" s="35"/>
      <c r="P60" s="35"/>
      <c r="Q60" s="35"/>
      <c r="R60" s="35"/>
      <c r="S60" s="35">
        <v>265</v>
      </c>
      <c r="T60" s="35"/>
      <c r="U60" s="35"/>
      <c r="V60" s="69"/>
      <c r="W60" s="32">
        <f t="shared" si="6"/>
        <v>265</v>
      </c>
      <c r="X60" s="210">
        <v>0</v>
      </c>
      <c r="Y60" s="210"/>
      <c r="Z60" s="210"/>
      <c r="AA60" s="209">
        <f t="shared" si="4"/>
        <v>0</v>
      </c>
      <c r="AB60" s="63">
        <v>0</v>
      </c>
      <c r="AC60" s="63">
        <v>0</v>
      </c>
      <c r="AD60" s="270"/>
      <c r="AE60" s="177"/>
      <c r="AF60" s="270">
        <f t="shared" si="5"/>
        <v>0</v>
      </c>
      <c r="AG60" s="270"/>
      <c r="AH60" s="270">
        <v>265</v>
      </c>
      <c r="AI60" s="33">
        <f t="shared" si="18"/>
        <v>265</v>
      </c>
      <c r="AJ60" s="64"/>
      <c r="AK60" s="64"/>
      <c r="AL60" s="41">
        <f t="shared" si="3"/>
        <v>265</v>
      </c>
      <c r="AM60" s="65"/>
      <c r="AN60" s="125">
        <f t="shared" si="13"/>
        <v>265</v>
      </c>
      <c r="AO60" s="126">
        <f t="shared" si="14"/>
        <v>0</v>
      </c>
      <c r="AP60" s="67"/>
      <c r="AQ60" s="64">
        <f t="shared" si="17"/>
        <v>265</v>
      </c>
      <c r="AR60" s="301" t="s">
        <v>231</v>
      </c>
      <c r="AS60" s="167"/>
      <c r="AW60">
        <f>30888-37065</f>
        <v>-6177</v>
      </c>
    </row>
    <row r="61" spans="1:51" ht="51.6" customHeight="1" x14ac:dyDescent="0.25">
      <c r="A61" s="30">
        <v>45</v>
      </c>
      <c r="B61" s="31" t="s">
        <v>92</v>
      </c>
      <c r="C61" s="221">
        <v>8113209</v>
      </c>
      <c r="D61" s="59"/>
      <c r="E61" s="59"/>
      <c r="F61" s="59"/>
      <c r="G61" s="59"/>
      <c r="H61" s="59"/>
      <c r="I61" s="59"/>
      <c r="J61" s="59"/>
      <c r="K61" s="59">
        <v>300</v>
      </c>
      <c r="L61" s="33"/>
      <c r="M61" s="34">
        <v>267.56</v>
      </c>
      <c r="N61" s="59">
        <v>61775</v>
      </c>
      <c r="O61" s="35">
        <v>61775</v>
      </c>
      <c r="P61" s="35"/>
      <c r="Q61" s="35"/>
      <c r="R61" s="35"/>
      <c r="S61" s="60"/>
      <c r="T61" s="35"/>
      <c r="U61" s="61"/>
      <c r="V61" s="62"/>
      <c r="W61" s="32">
        <f t="shared" si="6"/>
        <v>61775</v>
      </c>
      <c r="X61" s="210">
        <v>28362.960999999999</v>
      </c>
      <c r="Y61" s="210"/>
      <c r="Z61" s="210">
        <v>5458</v>
      </c>
      <c r="AA61" s="209">
        <f t="shared" si="4"/>
        <v>33820.960999999996</v>
      </c>
      <c r="AB61" s="63">
        <f t="shared" si="15"/>
        <v>0.54748621610683923</v>
      </c>
      <c r="AC61" s="63">
        <f t="shared" si="16"/>
        <v>0.54748621610683923</v>
      </c>
      <c r="AD61" s="270">
        <v>6000</v>
      </c>
      <c r="AE61" s="177">
        <v>5458</v>
      </c>
      <c r="AF61" s="270">
        <f t="shared" si="5"/>
        <v>542</v>
      </c>
      <c r="AG61" s="270"/>
      <c r="AH61" s="270"/>
      <c r="AI61" s="33">
        <f t="shared" si="18"/>
        <v>27954.039000000004</v>
      </c>
      <c r="AJ61" s="64"/>
      <c r="AK61" s="64"/>
      <c r="AL61" s="41">
        <f t="shared" si="3"/>
        <v>27954.039000000004</v>
      </c>
      <c r="AM61" s="65">
        <v>10000</v>
      </c>
      <c r="AN61" s="125">
        <f t="shared" si="13"/>
        <v>17954.039000000004</v>
      </c>
      <c r="AO61" s="126">
        <f t="shared" si="14"/>
        <v>0.70936399838122211</v>
      </c>
      <c r="AP61" s="67"/>
      <c r="AQ61" s="64">
        <f t="shared" si="17"/>
        <v>27954.039000000004</v>
      </c>
      <c r="AR61" s="299" t="s">
        <v>229</v>
      </c>
      <c r="AS61" s="167"/>
      <c r="AX61">
        <v>37065</v>
      </c>
    </row>
    <row r="62" spans="1:51" ht="45" x14ac:dyDescent="0.25">
      <c r="A62" s="30">
        <v>46</v>
      </c>
      <c r="B62" s="31" t="s">
        <v>93</v>
      </c>
      <c r="C62" s="221">
        <v>8100888</v>
      </c>
      <c r="D62" s="59"/>
      <c r="E62" s="59"/>
      <c r="F62" s="59"/>
      <c r="G62" s="59"/>
      <c r="H62" s="59"/>
      <c r="I62" s="59"/>
      <c r="J62" s="59"/>
      <c r="K62" s="59">
        <v>1983</v>
      </c>
      <c r="L62" s="33"/>
      <c r="M62" s="34">
        <v>1530</v>
      </c>
      <c r="N62" s="59">
        <v>507784</v>
      </c>
      <c r="O62" s="35">
        <v>745850</v>
      </c>
      <c r="P62" s="35"/>
      <c r="Q62" s="35"/>
      <c r="R62" s="35"/>
      <c r="S62" s="60"/>
      <c r="T62" s="35"/>
      <c r="U62" s="61">
        <v>-118066</v>
      </c>
      <c r="V62" s="62"/>
      <c r="W62" s="32">
        <f t="shared" si="6"/>
        <v>627784</v>
      </c>
      <c r="X62" s="210">
        <v>497783.54</v>
      </c>
      <c r="Y62" s="210"/>
      <c r="Z62" s="210"/>
      <c r="AA62" s="209">
        <f t="shared" si="4"/>
        <v>497783.54</v>
      </c>
      <c r="AB62" s="63">
        <f>AA62/W62</f>
        <v>0.79292167369668543</v>
      </c>
      <c r="AC62" s="63">
        <f>AA62/N62</f>
        <v>0.98030568115576699</v>
      </c>
      <c r="AD62" s="270"/>
      <c r="AE62" s="177"/>
      <c r="AF62" s="270">
        <f t="shared" si="5"/>
        <v>0</v>
      </c>
      <c r="AG62" s="270"/>
      <c r="AH62" s="270"/>
      <c r="AI62" s="33">
        <f t="shared" si="18"/>
        <v>130000.46000000002</v>
      </c>
      <c r="AJ62" s="64"/>
      <c r="AK62" s="64"/>
      <c r="AL62" s="41">
        <f t="shared" si="3"/>
        <v>130000.46000000002</v>
      </c>
      <c r="AM62" s="65">
        <v>270000</v>
      </c>
      <c r="AN62" s="125">
        <f t="shared" si="13"/>
        <v>-139999.53999999998</v>
      </c>
      <c r="AO62" s="126">
        <f t="shared" si="14"/>
        <v>1.2230059064901304</v>
      </c>
      <c r="AP62" s="67"/>
      <c r="AQ62" s="64">
        <f t="shared" si="17"/>
        <v>130000.46000000002</v>
      </c>
      <c r="AR62" s="301" t="s">
        <v>231</v>
      </c>
      <c r="AS62" s="147" t="s">
        <v>152</v>
      </c>
      <c r="AU62" s="20">
        <v>167340</v>
      </c>
      <c r="AV62" s="22">
        <v>167340</v>
      </c>
      <c r="AX62" s="18">
        <f>AX61-AA61</f>
        <v>3244.0390000000043</v>
      </c>
    </row>
    <row r="63" spans="1:51" ht="40.5" customHeight="1" x14ac:dyDescent="0.25">
      <c r="A63" s="51" t="s">
        <v>183</v>
      </c>
      <c r="B63" s="225" t="s">
        <v>185</v>
      </c>
      <c r="C63" s="215"/>
      <c r="D63" s="76"/>
      <c r="E63" s="76"/>
      <c r="F63" s="76"/>
      <c r="G63" s="76"/>
      <c r="H63" s="76"/>
      <c r="I63" s="76"/>
      <c r="J63" s="76"/>
      <c r="K63" s="76"/>
      <c r="L63" s="33"/>
      <c r="M63" s="34"/>
      <c r="N63" s="136"/>
      <c r="O63" s="136"/>
      <c r="P63" s="76"/>
      <c r="Q63" s="76"/>
      <c r="R63" s="76"/>
      <c r="S63" s="60"/>
      <c r="T63" s="76"/>
      <c r="U63" s="76"/>
      <c r="V63" s="76"/>
      <c r="W63" s="32">
        <f t="shared" si="6"/>
        <v>0</v>
      </c>
      <c r="X63" s="210"/>
      <c r="Y63" s="210"/>
      <c r="Z63" s="210"/>
      <c r="AA63" s="209">
        <f t="shared" si="4"/>
        <v>0</v>
      </c>
      <c r="AB63" s="63"/>
      <c r="AC63" s="63"/>
      <c r="AD63" s="270"/>
      <c r="AE63" s="114"/>
      <c r="AF63" s="270">
        <f t="shared" si="5"/>
        <v>0</v>
      </c>
      <c r="AG63" s="270"/>
      <c r="AH63" s="270"/>
      <c r="AI63" s="33">
        <f t="shared" si="18"/>
        <v>0</v>
      </c>
      <c r="AJ63" s="64"/>
      <c r="AK63" s="64"/>
      <c r="AL63" s="41">
        <f t="shared" si="3"/>
        <v>0</v>
      </c>
      <c r="AM63" s="65"/>
      <c r="AN63" s="125">
        <f t="shared" si="13"/>
        <v>0</v>
      </c>
      <c r="AO63" s="126"/>
      <c r="AP63" s="67"/>
      <c r="AQ63" s="67"/>
      <c r="AR63" s="303"/>
      <c r="AS63" s="172"/>
      <c r="AU63" s="21">
        <f>AU62-AA62</f>
        <v>-330443.53999999998</v>
      </c>
      <c r="AV63" s="23">
        <f>AV62-AA62</f>
        <v>-330443.53999999998</v>
      </c>
    </row>
    <row r="64" spans="1:51" ht="30" customHeight="1" x14ac:dyDescent="0.25">
      <c r="A64" s="30">
        <v>1</v>
      </c>
      <c r="B64" s="31" t="s">
        <v>156</v>
      </c>
      <c r="C64" s="223" t="s">
        <v>164</v>
      </c>
      <c r="D64" s="59"/>
      <c r="E64" s="59"/>
      <c r="F64" s="59"/>
      <c r="G64" s="59"/>
      <c r="H64" s="59"/>
      <c r="I64" s="59"/>
      <c r="J64" s="59">
        <v>5354</v>
      </c>
      <c r="K64" s="59">
        <v>19662</v>
      </c>
      <c r="L64" s="33"/>
      <c r="M64" s="34">
        <v>19661.934000000001</v>
      </c>
      <c r="N64" s="59">
        <v>5992</v>
      </c>
      <c r="O64" s="35"/>
      <c r="P64" s="35">
        <v>100</v>
      </c>
      <c r="Q64" s="35"/>
      <c r="R64" s="35">
        <v>700</v>
      </c>
      <c r="S64" s="60"/>
      <c r="T64" s="35"/>
      <c r="U64" s="35">
        <v>5992</v>
      </c>
      <c r="V64" s="35"/>
      <c r="W64" s="32">
        <f t="shared" si="6"/>
        <v>6792</v>
      </c>
      <c r="X64" s="210">
        <v>100</v>
      </c>
      <c r="Y64" s="210"/>
      <c r="Z64" s="210">
        <v>3467</v>
      </c>
      <c r="AA64" s="209">
        <f t="shared" si="4"/>
        <v>3567</v>
      </c>
      <c r="AB64" s="186">
        <f>AA64/W64</f>
        <v>0.52517667844522964</v>
      </c>
      <c r="AC64" s="63">
        <v>0</v>
      </c>
      <c r="AD64" s="270">
        <v>3000</v>
      </c>
      <c r="AE64" s="270">
        <v>3467</v>
      </c>
      <c r="AF64" s="270">
        <f t="shared" si="5"/>
        <v>-467</v>
      </c>
      <c r="AG64" s="270"/>
      <c r="AH64" s="270"/>
      <c r="AI64" s="33">
        <f t="shared" si="18"/>
        <v>3225</v>
      </c>
      <c r="AJ64" s="64"/>
      <c r="AK64" s="64"/>
      <c r="AL64" s="41">
        <f t="shared" si="3"/>
        <v>3225</v>
      </c>
      <c r="AM64" s="65"/>
      <c r="AN64" s="125">
        <f t="shared" si="13"/>
        <v>3225</v>
      </c>
      <c r="AO64" s="126">
        <f>(AA64+AM64)/W64</f>
        <v>0.52517667844522964</v>
      </c>
      <c r="AP64" s="67"/>
      <c r="AQ64" s="67"/>
      <c r="AR64" s="173" t="s">
        <v>234</v>
      </c>
      <c r="AS64" s="173"/>
      <c r="AV64" s="24">
        <f>383-60</f>
        <v>323</v>
      </c>
    </row>
    <row r="65" spans="1:49" ht="36" customHeight="1" x14ac:dyDescent="0.25">
      <c r="A65" s="30">
        <v>2</v>
      </c>
      <c r="B65" s="31" t="s">
        <v>203</v>
      </c>
      <c r="C65" s="223" t="s">
        <v>165</v>
      </c>
      <c r="D65" s="59"/>
      <c r="E65" s="59">
        <v>7500</v>
      </c>
      <c r="F65" s="59">
        <v>2600</v>
      </c>
      <c r="G65" s="59"/>
      <c r="H65" s="59"/>
      <c r="I65" s="59"/>
      <c r="J65" s="59">
        <v>6090</v>
      </c>
      <c r="K65" s="59">
        <v>19816</v>
      </c>
      <c r="L65" s="33"/>
      <c r="M65" s="59"/>
      <c r="N65" s="59">
        <v>6500</v>
      </c>
      <c r="O65" s="35"/>
      <c r="P65" s="35">
        <v>100</v>
      </c>
      <c r="Q65" s="35"/>
      <c r="R65" s="35">
        <v>1000</v>
      </c>
      <c r="S65" s="60"/>
      <c r="T65" s="35"/>
      <c r="U65" s="61">
        <v>3000</v>
      </c>
      <c r="V65" s="62"/>
      <c r="W65" s="32">
        <f t="shared" si="6"/>
        <v>4100</v>
      </c>
      <c r="X65" s="210">
        <v>100</v>
      </c>
      <c r="Y65" s="210"/>
      <c r="Z65" s="210">
        <f>2924+460</f>
        <v>3384</v>
      </c>
      <c r="AA65" s="209">
        <f t="shared" si="4"/>
        <v>3484</v>
      </c>
      <c r="AB65" s="186">
        <f t="shared" ref="AB65:AB67" si="19">AA65/W65</f>
        <v>0.84975609756097559</v>
      </c>
      <c r="AC65" s="63">
        <v>0</v>
      </c>
      <c r="AD65" s="270">
        <f>423+37</f>
        <v>460</v>
      </c>
      <c r="AE65" s="270">
        <v>3384</v>
      </c>
      <c r="AF65" s="270">
        <f t="shared" si="5"/>
        <v>-2924</v>
      </c>
      <c r="AG65" s="270"/>
      <c r="AH65" s="270"/>
      <c r="AI65" s="33">
        <f t="shared" si="18"/>
        <v>616</v>
      </c>
      <c r="AJ65" s="64"/>
      <c r="AK65" s="64"/>
      <c r="AL65" s="41">
        <f t="shared" si="3"/>
        <v>616</v>
      </c>
      <c r="AM65" s="65"/>
      <c r="AN65" s="125">
        <f t="shared" si="13"/>
        <v>616</v>
      </c>
      <c r="AO65" s="126">
        <f>(AA65+AM65)/W65</f>
        <v>0.84975609756097559</v>
      </c>
      <c r="AP65" s="67"/>
      <c r="AQ65" s="67"/>
      <c r="AR65" s="173" t="s">
        <v>232</v>
      </c>
      <c r="AS65" s="173"/>
    </row>
    <row r="66" spans="1:49" ht="48" customHeight="1" x14ac:dyDescent="0.25">
      <c r="A66" s="30">
        <v>3</v>
      </c>
      <c r="B66" s="31" t="s">
        <v>158</v>
      </c>
      <c r="C66" s="223" t="s">
        <v>166</v>
      </c>
      <c r="D66" s="59"/>
      <c r="E66" s="59">
        <v>6200</v>
      </c>
      <c r="F66" s="59">
        <v>4220</v>
      </c>
      <c r="G66" s="59"/>
      <c r="H66" s="59">
        <v>3960</v>
      </c>
      <c r="I66" s="59"/>
      <c r="J66" s="59"/>
      <c r="K66" s="59">
        <v>5251</v>
      </c>
      <c r="L66" s="33"/>
      <c r="M66" s="59"/>
      <c r="N66" s="59">
        <v>6000</v>
      </c>
      <c r="O66" s="35"/>
      <c r="P66" s="35">
        <v>100</v>
      </c>
      <c r="Q66" s="35"/>
      <c r="R66" s="35">
        <v>1000</v>
      </c>
      <c r="S66" s="60"/>
      <c r="T66" s="35"/>
      <c r="U66" s="61"/>
      <c r="V66" s="61"/>
      <c r="W66" s="32">
        <f t="shared" si="6"/>
        <v>1100</v>
      </c>
      <c r="X66" s="210">
        <v>100</v>
      </c>
      <c r="Y66" s="210"/>
      <c r="Z66" s="210">
        <f>447.9+26.4</f>
        <v>474.29999999999995</v>
      </c>
      <c r="AA66" s="209">
        <f t="shared" si="4"/>
        <v>574.29999999999995</v>
      </c>
      <c r="AB66" s="186">
        <f t="shared" si="19"/>
        <v>0.52209090909090905</v>
      </c>
      <c r="AC66" s="63">
        <v>0</v>
      </c>
      <c r="AD66" s="270">
        <f>448+26</f>
        <v>474</v>
      </c>
      <c r="AE66" s="270">
        <v>474</v>
      </c>
      <c r="AF66" s="270">
        <f t="shared" si="5"/>
        <v>0</v>
      </c>
      <c r="AG66" s="270"/>
      <c r="AH66" s="270"/>
      <c r="AI66" s="33">
        <f t="shared" si="18"/>
        <v>525.70000000000005</v>
      </c>
      <c r="AJ66" s="64"/>
      <c r="AK66" s="64"/>
      <c r="AL66" s="41">
        <f t="shared" si="3"/>
        <v>525.70000000000005</v>
      </c>
      <c r="AM66" s="65"/>
      <c r="AN66" s="125">
        <f t="shared" si="13"/>
        <v>525.70000000000005</v>
      </c>
      <c r="AO66" s="126">
        <f>(AA66+AM66)/W66</f>
        <v>0.52209090909090905</v>
      </c>
      <c r="AP66" s="64"/>
      <c r="AQ66" s="64"/>
      <c r="AR66" s="173" t="s">
        <v>232</v>
      </c>
      <c r="AS66" s="173"/>
    </row>
    <row r="67" spans="1:49" ht="60.6" customHeight="1" x14ac:dyDescent="0.25">
      <c r="A67" s="30">
        <v>4</v>
      </c>
      <c r="B67" s="31" t="s">
        <v>159</v>
      </c>
      <c r="C67" s="223" t="s">
        <v>167</v>
      </c>
      <c r="D67" s="59"/>
      <c r="E67" s="59"/>
      <c r="F67" s="59"/>
      <c r="G67" s="59"/>
      <c r="H67" s="59">
        <v>103</v>
      </c>
      <c r="I67" s="59"/>
      <c r="J67" s="59">
        <v>1500</v>
      </c>
      <c r="K67" s="59"/>
      <c r="L67" s="33"/>
      <c r="M67" s="59"/>
      <c r="N67" s="59">
        <v>10000</v>
      </c>
      <c r="O67" s="35"/>
      <c r="P67" s="35">
        <v>100</v>
      </c>
      <c r="Q67" s="35"/>
      <c r="R67" s="35">
        <v>600</v>
      </c>
      <c r="S67" s="60"/>
      <c r="T67" s="35"/>
      <c r="U67" s="35">
        <f>100-100</f>
        <v>0</v>
      </c>
      <c r="V67" s="35"/>
      <c r="W67" s="32">
        <f t="shared" si="6"/>
        <v>700</v>
      </c>
      <c r="X67" s="210">
        <v>100</v>
      </c>
      <c r="Y67" s="210"/>
      <c r="Z67" s="210">
        <v>584</v>
      </c>
      <c r="AA67" s="209">
        <f t="shared" si="4"/>
        <v>684</v>
      </c>
      <c r="AB67" s="186">
        <f t="shared" si="19"/>
        <v>0.97714285714285709</v>
      </c>
      <c r="AC67" s="63">
        <v>0</v>
      </c>
      <c r="AD67" s="270"/>
      <c r="AE67" s="270">
        <v>584</v>
      </c>
      <c r="AF67" s="270">
        <f t="shared" si="5"/>
        <v>-584</v>
      </c>
      <c r="AG67" s="270"/>
      <c r="AH67" s="270"/>
      <c r="AI67" s="33">
        <f t="shared" si="18"/>
        <v>16</v>
      </c>
      <c r="AJ67" s="64"/>
      <c r="AK67" s="64"/>
      <c r="AL67" s="41">
        <f t="shared" si="3"/>
        <v>16</v>
      </c>
      <c r="AM67" s="65"/>
      <c r="AN67" s="125">
        <f t="shared" si="13"/>
        <v>16</v>
      </c>
      <c r="AO67" s="126">
        <f>(AA67+AM67)/W67</f>
        <v>0.97714285714285709</v>
      </c>
      <c r="AP67" s="67"/>
      <c r="AQ67" s="67"/>
      <c r="AR67" s="299" t="s">
        <v>229</v>
      </c>
      <c r="AS67" s="173"/>
    </row>
    <row r="68" spans="1:49" ht="61.15" customHeight="1" x14ac:dyDescent="0.25">
      <c r="A68" s="30">
        <v>5</v>
      </c>
      <c r="B68" s="31" t="s">
        <v>160</v>
      </c>
      <c r="C68" s="223" t="s">
        <v>168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59">
        <v>4600</v>
      </c>
      <c r="O68" s="180"/>
      <c r="P68" s="35">
        <v>100</v>
      </c>
      <c r="Q68" s="179"/>
      <c r="R68" s="35">
        <v>250</v>
      </c>
      <c r="S68" s="179"/>
      <c r="T68" s="179"/>
      <c r="U68" s="272">
        <v>4250</v>
      </c>
      <c r="V68" s="179"/>
      <c r="W68" s="32">
        <f t="shared" si="6"/>
        <v>4600</v>
      </c>
      <c r="X68" s="210">
        <v>100</v>
      </c>
      <c r="Y68" s="211"/>
      <c r="Z68" s="276">
        <f>1679.8+17.7+303</f>
        <v>2000.5</v>
      </c>
      <c r="AA68" s="209">
        <f t="shared" si="4"/>
        <v>2100.5</v>
      </c>
      <c r="AB68" s="187">
        <f>AA68/W68</f>
        <v>0.45663043478260867</v>
      </c>
      <c r="AC68" s="63">
        <v>0</v>
      </c>
      <c r="AD68" s="270">
        <v>320</v>
      </c>
      <c r="AE68" s="270">
        <v>2001</v>
      </c>
      <c r="AF68" s="270">
        <f t="shared" si="5"/>
        <v>-1681</v>
      </c>
      <c r="AG68" s="270"/>
      <c r="AH68" s="270"/>
      <c r="AI68" s="33">
        <f t="shared" si="18"/>
        <v>2499.5</v>
      </c>
      <c r="AJ68" s="179"/>
      <c r="AK68" s="179"/>
      <c r="AL68" s="179"/>
      <c r="AM68" s="179"/>
      <c r="AN68" s="179">
        <f t="shared" si="13"/>
        <v>2499.5</v>
      </c>
      <c r="AO68" s="179">
        <f>(AA68+AM68)/W68</f>
        <v>0.45663043478260867</v>
      </c>
      <c r="AP68" s="179"/>
      <c r="AQ68" s="179"/>
      <c r="AR68" s="173" t="s">
        <v>235</v>
      </c>
      <c r="AS68" s="173"/>
      <c r="AW68">
        <f>470-AA68</f>
        <v>-1630.5</v>
      </c>
    </row>
    <row r="69" spans="1:49" ht="135.6" customHeight="1" x14ac:dyDescent="0.25">
      <c r="A69" s="30">
        <v>6</v>
      </c>
      <c r="B69" s="31" t="s">
        <v>205</v>
      </c>
      <c r="C69" s="192" t="s">
        <v>169</v>
      </c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59">
        <v>11400</v>
      </c>
      <c r="O69" s="194"/>
      <c r="P69" s="195">
        <v>100</v>
      </c>
      <c r="Q69" s="181"/>
      <c r="R69" s="35">
        <v>600</v>
      </c>
      <c r="S69" s="181"/>
      <c r="T69" s="181"/>
      <c r="U69" s="273">
        <v>10700</v>
      </c>
      <c r="V69" s="181"/>
      <c r="W69" s="32">
        <f t="shared" si="6"/>
        <v>11400</v>
      </c>
      <c r="X69" s="210">
        <v>100</v>
      </c>
      <c r="Y69" s="212"/>
      <c r="Z69" s="277">
        <f>4936+741</f>
        <v>5677</v>
      </c>
      <c r="AA69" s="209">
        <f t="shared" si="4"/>
        <v>5777</v>
      </c>
      <c r="AB69" s="197">
        <f>AA69/W69</f>
        <v>0.50675438596491229</v>
      </c>
      <c r="AC69" s="198">
        <v>0</v>
      </c>
      <c r="AD69" s="270">
        <v>4500</v>
      </c>
      <c r="AE69" s="270">
        <v>5677</v>
      </c>
      <c r="AF69" s="270">
        <f t="shared" si="5"/>
        <v>-1177</v>
      </c>
      <c r="AG69" s="270"/>
      <c r="AH69" s="270"/>
      <c r="AI69" s="33">
        <f t="shared" si="18"/>
        <v>5623</v>
      </c>
      <c r="AJ69" s="179"/>
      <c r="AK69" s="179"/>
      <c r="AL69" s="179"/>
      <c r="AM69" s="179"/>
      <c r="AN69" s="179"/>
      <c r="AO69" s="179"/>
      <c r="AP69" s="179"/>
      <c r="AQ69" s="179"/>
      <c r="AR69" s="300" t="s">
        <v>230</v>
      </c>
      <c r="AS69" s="200"/>
    </row>
    <row r="70" spans="1:49" s="20" customFormat="1" ht="76.150000000000006" customHeight="1" x14ac:dyDescent="0.25">
      <c r="A70" s="30">
        <v>7</v>
      </c>
      <c r="B70" s="249" t="s">
        <v>162</v>
      </c>
      <c r="C70" s="223" t="s">
        <v>170</v>
      </c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59">
        <v>10967</v>
      </c>
      <c r="O70" s="185"/>
      <c r="P70" s="35">
        <v>100</v>
      </c>
      <c r="Q70" s="182"/>
      <c r="R70" s="35">
        <v>600</v>
      </c>
      <c r="S70" s="182"/>
      <c r="T70" s="182"/>
      <c r="U70" s="274">
        <v>10267</v>
      </c>
      <c r="V70" s="182"/>
      <c r="W70" s="32">
        <f t="shared" si="6"/>
        <v>10967</v>
      </c>
      <c r="X70" s="210">
        <v>100</v>
      </c>
      <c r="Y70" s="211"/>
      <c r="Z70" s="276">
        <v>5291</v>
      </c>
      <c r="AA70" s="209">
        <f t="shared" si="4"/>
        <v>5391</v>
      </c>
      <c r="AB70" s="189">
        <f>AA70/W70</f>
        <v>0.49156560590863502</v>
      </c>
      <c r="AC70" s="63">
        <v>0</v>
      </c>
      <c r="AD70" s="270">
        <v>4300</v>
      </c>
      <c r="AE70" s="270">
        <v>5291</v>
      </c>
      <c r="AF70" s="270">
        <f t="shared" si="5"/>
        <v>-991</v>
      </c>
      <c r="AG70" s="270"/>
      <c r="AH70" s="270"/>
      <c r="AI70" s="33">
        <f t="shared" si="18"/>
        <v>5576</v>
      </c>
      <c r="AJ70" s="184"/>
      <c r="AK70" s="184"/>
      <c r="AL70" s="184"/>
      <c r="AM70" s="184"/>
      <c r="AN70" s="184"/>
      <c r="AO70" s="184"/>
      <c r="AP70" s="184"/>
      <c r="AQ70" s="184"/>
      <c r="AR70" s="300" t="s">
        <v>230</v>
      </c>
      <c r="AS70" s="173"/>
    </row>
    <row r="71" spans="1:49" ht="61.9" customHeight="1" x14ac:dyDescent="0.25">
      <c r="A71" s="30">
        <v>8</v>
      </c>
      <c r="B71" s="249" t="s">
        <v>163</v>
      </c>
      <c r="C71" s="223" t="s">
        <v>171</v>
      </c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59">
        <v>7073</v>
      </c>
      <c r="O71" s="180"/>
      <c r="P71" s="35">
        <v>100</v>
      </c>
      <c r="Q71" s="181"/>
      <c r="R71" s="35">
        <v>450</v>
      </c>
      <c r="S71" s="181"/>
      <c r="T71" s="181"/>
      <c r="U71" s="274">
        <v>6523</v>
      </c>
      <c r="V71" s="181"/>
      <c r="W71" s="32">
        <f t="shared" si="6"/>
        <v>7073</v>
      </c>
      <c r="X71" s="210">
        <v>100</v>
      </c>
      <c r="Y71" s="213"/>
      <c r="Z71" s="276">
        <v>3851</v>
      </c>
      <c r="AA71" s="209">
        <f t="shared" si="4"/>
        <v>3951</v>
      </c>
      <c r="AB71" s="189">
        <f>AA71/W71</f>
        <v>0.55860313869645128</v>
      </c>
      <c r="AC71" s="63">
        <v>0</v>
      </c>
      <c r="AD71" s="270">
        <v>3951</v>
      </c>
      <c r="AE71" s="270">
        <v>3951</v>
      </c>
      <c r="AF71" s="270">
        <f t="shared" si="5"/>
        <v>0</v>
      </c>
      <c r="AG71" s="270"/>
      <c r="AH71" s="270"/>
      <c r="AI71" s="33">
        <f t="shared" si="18"/>
        <v>3122</v>
      </c>
      <c r="AJ71" s="179"/>
      <c r="AK71" s="179"/>
      <c r="AL71" s="179"/>
      <c r="AM71" s="179"/>
      <c r="AN71" s="179"/>
      <c r="AO71" s="179"/>
      <c r="AP71" s="179"/>
      <c r="AQ71" s="179"/>
      <c r="AR71" s="173" t="s">
        <v>233</v>
      </c>
      <c r="AS71" s="173"/>
    </row>
    <row r="72" spans="1:49" s="241" customFormat="1" ht="61.9" customHeight="1" x14ac:dyDescent="0.25">
      <c r="A72" s="30">
        <v>9</v>
      </c>
      <c r="B72" s="254" t="s">
        <v>189</v>
      </c>
      <c r="C72" s="255" t="s">
        <v>207</v>
      </c>
      <c r="D72" s="256"/>
      <c r="E72" s="256"/>
      <c r="F72" s="256"/>
      <c r="G72" s="256"/>
      <c r="H72" s="256"/>
      <c r="I72" s="256"/>
      <c r="J72" s="256"/>
      <c r="K72" s="256"/>
      <c r="L72" s="256"/>
      <c r="M72" s="256"/>
      <c r="N72" s="59">
        <v>600</v>
      </c>
      <c r="O72" s="257"/>
      <c r="P72" s="35"/>
      <c r="Q72" s="258"/>
      <c r="R72" s="35">
        <v>600</v>
      </c>
      <c r="S72" s="258"/>
      <c r="T72" s="258"/>
      <c r="U72" s="275"/>
      <c r="V72" s="258"/>
      <c r="W72" s="32">
        <f t="shared" si="6"/>
        <v>600</v>
      </c>
      <c r="X72" s="259"/>
      <c r="Y72" s="260"/>
      <c r="Z72" s="260"/>
      <c r="AA72" s="209">
        <f t="shared" si="4"/>
        <v>0</v>
      </c>
      <c r="AB72" s="261"/>
      <c r="AC72" s="63"/>
      <c r="AD72" s="270"/>
      <c r="AE72" s="270"/>
      <c r="AF72" s="270">
        <f t="shared" si="5"/>
        <v>0</v>
      </c>
      <c r="AG72" s="270"/>
      <c r="AH72" s="270"/>
      <c r="AI72" s="33">
        <f t="shared" si="18"/>
        <v>600</v>
      </c>
      <c r="AJ72" s="256"/>
      <c r="AK72" s="256"/>
      <c r="AL72" s="256"/>
      <c r="AM72" s="256"/>
      <c r="AN72" s="256"/>
      <c r="AO72" s="256"/>
      <c r="AP72" s="256"/>
      <c r="AQ72" s="256"/>
      <c r="AR72" s="301" t="s">
        <v>231</v>
      </c>
      <c r="AS72" s="173"/>
    </row>
    <row r="73" spans="1:49" s="241" customFormat="1" ht="61.9" customHeight="1" x14ac:dyDescent="0.25">
      <c r="A73" s="30">
        <v>10</v>
      </c>
      <c r="B73" s="254" t="s">
        <v>190</v>
      </c>
      <c r="C73" s="255" t="s">
        <v>208</v>
      </c>
      <c r="D73" s="256"/>
      <c r="E73" s="256"/>
      <c r="F73" s="256"/>
      <c r="G73" s="256"/>
      <c r="H73" s="256"/>
      <c r="I73" s="256"/>
      <c r="J73" s="256"/>
      <c r="K73" s="256"/>
      <c r="L73" s="256"/>
      <c r="M73" s="256"/>
      <c r="N73" s="59">
        <v>800</v>
      </c>
      <c r="O73" s="257"/>
      <c r="P73" s="35"/>
      <c r="Q73" s="258"/>
      <c r="R73" s="35">
        <v>800</v>
      </c>
      <c r="S73" s="258"/>
      <c r="T73" s="258"/>
      <c r="U73" s="275"/>
      <c r="V73" s="258"/>
      <c r="W73" s="32">
        <f t="shared" si="6"/>
        <v>800</v>
      </c>
      <c r="X73" s="259"/>
      <c r="Y73" s="260"/>
      <c r="Z73" s="260"/>
      <c r="AA73" s="209">
        <f t="shared" si="4"/>
        <v>0</v>
      </c>
      <c r="AB73" s="261"/>
      <c r="AC73" s="63"/>
      <c r="AD73" s="270"/>
      <c r="AE73" s="270"/>
      <c r="AF73" s="270">
        <f t="shared" si="5"/>
        <v>0</v>
      </c>
      <c r="AG73" s="270"/>
      <c r="AH73" s="270"/>
      <c r="AI73" s="33">
        <f t="shared" si="18"/>
        <v>800</v>
      </c>
      <c r="AJ73" s="256"/>
      <c r="AK73" s="256"/>
      <c r="AL73" s="256"/>
      <c r="AM73" s="256"/>
      <c r="AN73" s="256"/>
      <c r="AO73" s="256"/>
      <c r="AP73" s="256"/>
      <c r="AQ73" s="256"/>
      <c r="AR73" s="301" t="s">
        <v>231</v>
      </c>
      <c r="AS73" s="173"/>
    </row>
    <row r="74" spans="1:49" s="241" customFormat="1" ht="61.9" customHeight="1" x14ac:dyDescent="0.25">
      <c r="A74" s="30">
        <v>11</v>
      </c>
      <c r="B74" s="254" t="s">
        <v>191</v>
      </c>
      <c r="C74" s="255" t="s">
        <v>207</v>
      </c>
      <c r="D74" s="256"/>
      <c r="E74" s="256"/>
      <c r="F74" s="256"/>
      <c r="G74" s="256"/>
      <c r="H74" s="256"/>
      <c r="I74" s="256"/>
      <c r="J74" s="256"/>
      <c r="K74" s="256"/>
      <c r="L74" s="256"/>
      <c r="M74" s="256"/>
      <c r="N74" s="59">
        <v>1000</v>
      </c>
      <c r="O74" s="257"/>
      <c r="P74" s="35"/>
      <c r="Q74" s="258"/>
      <c r="R74" s="35">
        <v>1000</v>
      </c>
      <c r="S74" s="258"/>
      <c r="T74" s="258"/>
      <c r="U74" s="275"/>
      <c r="V74" s="258"/>
      <c r="W74" s="32">
        <f t="shared" si="6"/>
        <v>1000</v>
      </c>
      <c r="X74" s="259"/>
      <c r="Y74" s="260"/>
      <c r="Z74" s="260"/>
      <c r="AA74" s="209">
        <f t="shared" si="4"/>
        <v>0</v>
      </c>
      <c r="AB74" s="261"/>
      <c r="AC74" s="63"/>
      <c r="AD74" s="270"/>
      <c r="AE74" s="270"/>
      <c r="AF74" s="270">
        <f t="shared" si="5"/>
        <v>0</v>
      </c>
      <c r="AG74" s="270"/>
      <c r="AH74" s="270"/>
      <c r="AI74" s="33">
        <f t="shared" si="18"/>
        <v>1000</v>
      </c>
      <c r="AJ74" s="256"/>
      <c r="AK74" s="256"/>
      <c r="AL74" s="256"/>
      <c r="AM74" s="256"/>
      <c r="AN74" s="256"/>
      <c r="AO74" s="256"/>
      <c r="AP74" s="256"/>
      <c r="AQ74" s="256"/>
      <c r="AR74" s="301" t="s">
        <v>231</v>
      </c>
      <c r="AS74" s="173"/>
    </row>
    <row r="75" spans="1:49" ht="14.25" customHeight="1" x14ac:dyDescent="0.25">
      <c r="A75" s="179"/>
      <c r="B75" s="251"/>
      <c r="C75" s="226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267"/>
      <c r="O75" s="179"/>
      <c r="P75" s="179"/>
      <c r="Q75" s="179"/>
      <c r="R75" s="179"/>
      <c r="S75" s="179"/>
      <c r="T75" s="179"/>
      <c r="U75" s="179"/>
      <c r="V75" s="179"/>
      <c r="W75" s="32">
        <f t="shared" si="6"/>
        <v>0</v>
      </c>
      <c r="X75" s="213"/>
      <c r="Y75" s="213"/>
      <c r="Z75" s="213"/>
      <c r="AA75" s="213"/>
      <c r="AB75" s="179"/>
      <c r="AC75" s="179"/>
      <c r="AD75" s="264"/>
      <c r="AE75" s="256"/>
      <c r="AF75" s="256"/>
      <c r="AG75" s="256"/>
      <c r="AH75" s="256"/>
      <c r="AI75" s="179"/>
      <c r="AJ75" s="179"/>
      <c r="AK75" s="179"/>
      <c r="AL75" s="179"/>
      <c r="AM75" s="179"/>
      <c r="AN75" s="179"/>
      <c r="AO75" s="179"/>
      <c r="AP75" s="179"/>
      <c r="AQ75" s="179"/>
      <c r="AS75" s="179"/>
    </row>
    <row r="76" spans="1:49" ht="14.25" customHeight="1" x14ac:dyDescent="0.25"/>
    <row r="77" spans="1:49" ht="14.25" customHeight="1" x14ac:dyDescent="0.25"/>
    <row r="78" spans="1:49" ht="14.25" customHeight="1" x14ac:dyDescent="0.25"/>
    <row r="79" spans="1:49" ht="14.25" customHeight="1" x14ac:dyDescent="0.25">
      <c r="W79">
        <f>1233824-2400</f>
        <v>1231424</v>
      </c>
    </row>
    <row r="80" spans="1:4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</sheetData>
  <autoFilter ref="A10:AV74" xr:uid="{00000000-0009-0000-0000-000003000000}"/>
  <mergeCells count="41">
    <mergeCell ref="AQ7:AQ9"/>
    <mergeCell ref="AS7:AS9"/>
    <mergeCell ref="AJ7:AJ9"/>
    <mergeCell ref="AK7:AK9"/>
    <mergeCell ref="AL7:AL9"/>
    <mergeCell ref="AM7:AM9"/>
    <mergeCell ref="AN7:AN9"/>
    <mergeCell ref="AO7:AO9"/>
    <mergeCell ref="AR7:AR9"/>
    <mergeCell ref="A1:AC1"/>
    <mergeCell ref="A2:AC2"/>
    <mergeCell ref="A4:AS4"/>
    <mergeCell ref="A5:AS5"/>
    <mergeCell ref="X7:X9"/>
    <mergeCell ref="F7:F9"/>
    <mergeCell ref="G7:G9"/>
    <mergeCell ref="H7:H9"/>
    <mergeCell ref="I7:I9"/>
    <mergeCell ref="J7:J9"/>
    <mergeCell ref="K7:K9"/>
    <mergeCell ref="L7:L9"/>
    <mergeCell ref="M7:M9"/>
    <mergeCell ref="N7:N9"/>
    <mergeCell ref="O7:V9"/>
    <mergeCell ref="W7:W9"/>
    <mergeCell ref="AF6:AS6"/>
    <mergeCell ref="A7:A9"/>
    <mergeCell ref="B7:B9"/>
    <mergeCell ref="C7:C9"/>
    <mergeCell ref="D7:D9"/>
    <mergeCell ref="E7:E9"/>
    <mergeCell ref="Y7:Y9"/>
    <mergeCell ref="AA7:AA9"/>
    <mergeCell ref="AB7:AB9"/>
    <mergeCell ref="AC7:AC9"/>
    <mergeCell ref="AI7:AI9"/>
    <mergeCell ref="AD7:AF8"/>
    <mergeCell ref="AG7:AG9"/>
    <mergeCell ref="AH7:AH9"/>
    <mergeCell ref="Z7:Z9"/>
    <mergeCell ref="AP7:AP9"/>
  </mergeCells>
  <pageMargins left="0.55000000000000004" right="0.15748031496062992" top="0.39370078740157483" bottom="0.23622047244094491" header="0" footer="0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bc</vt:lpstr>
      <vt:lpstr>BAO CAO 30-06 (2)</vt:lpstr>
      <vt:lpstr>BAO CAO 30-06 (KHV mới)</vt:lpstr>
      <vt:lpstr>BAO CAO 18-09-2026</vt:lpstr>
      <vt:lpstr>'BAO CAO 18-09-2026'!Print_Area</vt:lpstr>
      <vt:lpstr>'BAO CAO 30-06 (2)'!Print_Area</vt:lpstr>
      <vt:lpstr>'BAO CAO 30-06 (KHV mới)'!Print_Area</vt:lpstr>
      <vt:lpstr>'BAO CAO 18-09-2026'!Print_Titles</vt:lpstr>
      <vt:lpstr>'BAO CAO 30-06 (2)'!Print_Titles</vt:lpstr>
      <vt:lpstr>'BAO CAO 30-06 (KHV mới)'!Print_Titles</vt:lpstr>
      <vt:lpstr>bc!Print_Titles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DIEU HUONG</dc:creator>
  <cp:lastModifiedBy>Admin</cp:lastModifiedBy>
  <cp:lastPrinted>2026-09-18T04:11:15Z</cp:lastPrinted>
  <dcterms:created xsi:type="dcterms:W3CDTF">2025-12-25T12:02:44Z</dcterms:created>
  <dcterms:modified xsi:type="dcterms:W3CDTF">2026-09-18T11:00:39Z</dcterms:modified>
</cp:coreProperties>
</file>