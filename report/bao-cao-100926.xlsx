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Xuan\BaocaoGiaingan\report\"/>
    </mc:Choice>
  </mc:AlternateContent>
  <xr:revisionPtr revIDLastSave="0" documentId="13_ncr:1_{B0D0CB38-C740-4315-B831-EC4E2DF25BF4}" xr6:coauthVersionLast="47" xr6:coauthVersionMax="47" xr10:uidLastSave="{00000000-0000-0000-0000-000000000000}"/>
  <bookViews>
    <workbookView xWindow="-120" yWindow="-120" windowWidth="24240" windowHeight="13140" xr2:uid="{BF3132C5-3821-4F06-A909-D3A92B5D6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4" i="1" l="1"/>
  <c r="AE73" i="1"/>
  <c r="W73" i="1"/>
  <c r="AF73" i="1" s="1"/>
  <c r="AE72" i="1"/>
  <c r="W72" i="1"/>
  <c r="AF72" i="1" s="1"/>
  <c r="AE71" i="1"/>
  <c r="W71" i="1"/>
  <c r="AF71" i="1" s="1"/>
  <c r="AE70" i="1"/>
  <c r="Z70" i="1"/>
  <c r="W70" i="1"/>
  <c r="AE69" i="1"/>
  <c r="Z69" i="1"/>
  <c r="W69" i="1"/>
  <c r="AE68" i="1"/>
  <c r="Z68" i="1"/>
  <c r="W68" i="1"/>
  <c r="AE67" i="1"/>
  <c r="Z67" i="1"/>
  <c r="W67" i="1"/>
  <c r="AE66" i="1"/>
  <c r="Z66" i="1"/>
  <c r="U66" i="1"/>
  <c r="W66" i="1" s="1"/>
  <c r="AC65" i="1"/>
  <c r="Z65" i="1"/>
  <c r="W65" i="1"/>
  <c r="AC64" i="1"/>
  <c r="AE64" i="1" s="1"/>
  <c r="Z64" i="1"/>
  <c r="W64" i="1"/>
  <c r="AF64" i="1" s="1"/>
  <c r="AI64" i="1" s="1"/>
  <c r="AR63" i="1"/>
  <c r="AE63" i="1"/>
  <c r="Z63" i="1"/>
  <c r="W63" i="1"/>
  <c r="AE62" i="1"/>
  <c r="W62" i="1"/>
  <c r="AK62" i="1" s="1"/>
  <c r="AE61" i="1"/>
  <c r="Z61" i="1"/>
  <c r="AB61" i="1" s="1"/>
  <c r="W61" i="1"/>
  <c r="AE60" i="1"/>
  <c r="Z60" i="1"/>
  <c r="W60" i="1"/>
  <c r="AE59" i="1"/>
  <c r="Z59" i="1"/>
  <c r="W59" i="1"/>
  <c r="AF59" i="1" s="1"/>
  <c r="AI59" i="1" s="1"/>
  <c r="AE58" i="1"/>
  <c r="Z58" i="1"/>
  <c r="W58" i="1"/>
  <c r="AE57" i="1"/>
  <c r="Z57" i="1"/>
  <c r="AB57" i="1" s="1"/>
  <c r="W57" i="1"/>
  <c r="AE56" i="1"/>
  <c r="Z56" i="1"/>
  <c r="AB56" i="1" s="1"/>
  <c r="W56" i="1"/>
  <c r="AE55" i="1"/>
  <c r="Z55" i="1"/>
  <c r="AA55" i="1" s="1"/>
  <c r="W55" i="1"/>
  <c r="AE54" i="1"/>
  <c r="Z54" i="1"/>
  <c r="AB54" i="1" s="1"/>
  <c r="W54" i="1"/>
  <c r="AF54" i="1" s="1"/>
  <c r="AI54" i="1" s="1"/>
  <c r="AE53" i="1"/>
  <c r="Z53" i="1"/>
  <c r="W53" i="1"/>
  <c r="AE52" i="1"/>
  <c r="Z52" i="1"/>
  <c r="W52" i="1"/>
  <c r="AE51" i="1"/>
  <c r="Z51" i="1"/>
  <c r="W51" i="1"/>
  <c r="AE50" i="1"/>
  <c r="Z50" i="1"/>
  <c r="W50" i="1"/>
  <c r="AK50" i="1" s="1"/>
  <c r="AE49" i="1"/>
  <c r="Z49" i="1"/>
  <c r="W49" i="1"/>
  <c r="AK49" i="1" s="1"/>
  <c r="AE48" i="1"/>
  <c r="Z48" i="1"/>
  <c r="W48" i="1"/>
  <c r="AK48" i="1" s="1"/>
  <c r="AE47" i="1"/>
  <c r="Z47" i="1"/>
  <c r="W47" i="1"/>
  <c r="AE46" i="1"/>
  <c r="Z46" i="1"/>
  <c r="W46" i="1"/>
  <c r="AP45" i="1"/>
  <c r="AE45" i="1"/>
  <c r="Z45" i="1"/>
  <c r="W45" i="1"/>
  <c r="AE44" i="1"/>
  <c r="Z44" i="1"/>
  <c r="AB44" i="1" s="1"/>
  <c r="W44" i="1"/>
  <c r="AE43" i="1"/>
  <c r="Z43" i="1"/>
  <c r="W43" i="1"/>
  <c r="AK43" i="1" s="1"/>
  <c r="AQ42" i="1"/>
  <c r="AQ43" i="1" s="1"/>
  <c r="AE42" i="1"/>
  <c r="Z42" i="1"/>
  <c r="AP42" i="1" s="1"/>
  <c r="W42" i="1"/>
  <c r="AK42" i="1" s="1"/>
  <c r="AE41" i="1"/>
  <c r="Z41" i="1"/>
  <c r="AB41" i="1" s="1"/>
  <c r="W41" i="1"/>
  <c r="AE40" i="1"/>
  <c r="Z40" i="1"/>
  <c r="W40" i="1"/>
  <c r="AE39" i="1"/>
  <c r="Z39" i="1"/>
  <c r="AA39" i="1" s="1"/>
  <c r="W39" i="1"/>
  <c r="AC38" i="1"/>
  <c r="AE38" i="1" s="1"/>
  <c r="Z38" i="1"/>
  <c r="W38" i="1"/>
  <c r="AE37" i="1"/>
  <c r="Z37" i="1"/>
  <c r="W37" i="1"/>
  <c r="AQ36" i="1"/>
  <c r="AE36" i="1"/>
  <c r="Z36" i="1"/>
  <c r="W36" i="1"/>
  <c r="AE35" i="1"/>
  <c r="Z35" i="1"/>
  <c r="AB35" i="1" s="1"/>
  <c r="W35" i="1"/>
  <c r="M35" i="1"/>
  <c r="M11" i="1" s="1"/>
  <c r="AK34" i="1"/>
  <c r="AF34" i="1"/>
  <c r="AI34" i="1" s="1"/>
  <c r="AE34" i="1"/>
  <c r="AE33" i="1"/>
  <c r="Z33" i="1"/>
  <c r="W33" i="1"/>
  <c r="AE32" i="1"/>
  <c r="Z32" i="1"/>
  <c r="W32" i="1"/>
  <c r="AE31" i="1"/>
  <c r="Z31" i="1"/>
  <c r="W31" i="1"/>
  <c r="AE30" i="1"/>
  <c r="Z30" i="1"/>
  <c r="W30" i="1"/>
  <c r="AE29" i="1"/>
  <c r="Z29" i="1"/>
  <c r="W29" i="1"/>
  <c r="AE28" i="1"/>
  <c r="Z28" i="1"/>
  <c r="W28" i="1"/>
  <c r="AE27" i="1"/>
  <c r="Z27" i="1"/>
  <c r="W27" i="1"/>
  <c r="AE26" i="1"/>
  <c r="Z26" i="1"/>
  <c r="W26" i="1"/>
  <c r="AE25" i="1"/>
  <c r="Z25" i="1"/>
  <c r="W25" i="1"/>
  <c r="AE24" i="1"/>
  <c r="Z24" i="1"/>
  <c r="W24" i="1"/>
  <c r="AE23" i="1"/>
  <c r="Z23" i="1"/>
  <c r="W23" i="1"/>
  <c r="AE22" i="1"/>
  <c r="Z22" i="1"/>
  <c r="W22" i="1"/>
  <c r="AE21" i="1"/>
  <c r="Z21" i="1"/>
  <c r="AP21" i="1" s="1"/>
  <c r="W21" i="1"/>
  <c r="AE20" i="1"/>
  <c r="Z20" i="1"/>
  <c r="AQ20" i="1" s="1"/>
  <c r="W20" i="1"/>
  <c r="AE19" i="1"/>
  <c r="Z19" i="1"/>
  <c r="W19" i="1"/>
  <c r="AE18" i="1"/>
  <c r="Z18" i="1"/>
  <c r="W18" i="1"/>
  <c r="AK17" i="1"/>
  <c r="AI17" i="1"/>
  <c r="AE17" i="1"/>
  <c r="AE16" i="1"/>
  <c r="AB16" i="1"/>
  <c r="AA16" i="1"/>
  <c r="Z16" i="1"/>
  <c r="W16" i="1"/>
  <c r="AE15" i="1"/>
  <c r="Z15" i="1"/>
  <c r="W15" i="1"/>
  <c r="AE14" i="1"/>
  <c r="AB14" i="1"/>
  <c r="Z14" i="1"/>
  <c r="W14" i="1"/>
  <c r="AE13" i="1"/>
  <c r="Z13" i="1"/>
  <c r="W13" i="1"/>
  <c r="AI12" i="1"/>
  <c r="Z12" i="1"/>
  <c r="W12" i="1"/>
  <c r="AJ11" i="1"/>
  <c r="Y11" i="1"/>
  <c r="V11" i="1"/>
  <c r="U11" i="1"/>
  <c r="T11" i="1"/>
  <c r="S11" i="1"/>
  <c r="R11" i="1"/>
  <c r="Q11" i="1"/>
  <c r="P11" i="1"/>
  <c r="O11" i="1"/>
  <c r="N11" i="1"/>
  <c r="L11" i="1"/>
  <c r="K11" i="1"/>
  <c r="J11" i="1"/>
  <c r="I11" i="1"/>
  <c r="H11" i="1"/>
  <c r="G11" i="1"/>
  <c r="F11" i="1"/>
  <c r="E11" i="1"/>
  <c r="D11" i="1"/>
  <c r="AL18" i="1" l="1"/>
  <c r="AF30" i="1"/>
  <c r="AK40" i="1"/>
  <c r="AA46" i="1"/>
  <c r="AL50" i="1"/>
  <c r="AK58" i="1"/>
  <c r="AF15" i="1"/>
  <c r="AI15" i="1" s="1"/>
  <c r="AK12" i="1"/>
  <c r="AK41" i="1"/>
  <c r="AF62" i="1"/>
  <c r="AI62" i="1" s="1"/>
  <c r="AF69" i="1"/>
  <c r="AA38" i="1"/>
  <c r="AL43" i="1"/>
  <c r="AA48" i="1"/>
  <c r="AB50" i="1"/>
  <c r="AN50" i="1"/>
  <c r="AL53" i="1"/>
  <c r="AL59" i="1"/>
  <c r="AF60" i="1"/>
  <c r="AI60" i="1" s="1"/>
  <c r="AA65" i="1"/>
  <c r="AN18" i="1"/>
  <c r="AN45" i="1"/>
  <c r="AN46" i="1"/>
  <c r="AN47" i="1"/>
  <c r="AK51" i="1"/>
  <c r="AA53" i="1"/>
  <c r="AL64" i="1"/>
  <c r="AA68" i="1"/>
  <c r="AK15" i="1"/>
  <c r="AF29" i="1"/>
  <c r="AF33" i="1"/>
  <c r="AK55" i="1"/>
  <c r="AK61" i="1"/>
  <c r="AF24" i="1"/>
  <c r="AF28" i="1"/>
  <c r="AA70" i="1"/>
  <c r="AK21" i="1"/>
  <c r="AL38" i="1"/>
  <c r="AL42" i="1"/>
  <c r="AL36" i="1"/>
  <c r="AL19" i="1"/>
  <c r="AF27" i="1"/>
  <c r="AF31" i="1"/>
  <c r="AN38" i="1"/>
  <c r="AN42" i="1"/>
  <c r="AL48" i="1"/>
  <c r="AK63" i="1"/>
  <c r="AN20" i="1"/>
  <c r="AB38" i="1"/>
  <c r="AB48" i="1"/>
  <c r="AN57" i="1"/>
  <c r="AA60" i="1"/>
  <c r="AK67" i="1"/>
  <c r="AB18" i="1"/>
  <c r="AF43" i="1"/>
  <c r="AI43" i="1" s="1"/>
  <c r="AK13" i="1"/>
  <c r="AF25" i="1"/>
  <c r="AL52" i="1"/>
  <c r="AF55" i="1"/>
  <c r="AI55" i="1" s="1"/>
  <c r="AA42" i="1"/>
  <c r="AL49" i="1"/>
  <c r="AF68" i="1"/>
  <c r="AK16" i="1"/>
  <c r="AK18" i="1"/>
  <c r="AF42" i="1"/>
  <c r="AI42" i="1" s="1"/>
  <c r="AN43" i="1"/>
  <c r="AL61" i="1"/>
  <c r="AA20" i="1"/>
  <c r="AN39" i="1"/>
  <c r="AF22" i="1"/>
  <c r="AN37" i="1"/>
  <c r="AL40" i="1"/>
  <c r="AF47" i="1"/>
  <c r="AI47" i="1" s="1"/>
  <c r="AB42" i="1"/>
  <c r="AN14" i="1"/>
  <c r="AK44" i="1"/>
  <c r="AF56" i="1"/>
  <c r="AI56" i="1" s="1"/>
  <c r="AC11" i="1"/>
  <c r="AE11" i="1" s="1"/>
  <c r="AL63" i="1"/>
  <c r="AF39" i="1"/>
  <c r="AI39" i="1" s="1"/>
  <c r="AL65" i="1"/>
  <c r="AN49" i="1"/>
  <c r="AK56" i="1"/>
  <c r="AA21" i="1"/>
  <c r="AB39" i="1"/>
  <c r="AB47" i="1"/>
  <c r="AB49" i="1"/>
  <c r="AL41" i="1"/>
  <c r="AA56" i="1"/>
  <c r="AF26" i="1"/>
  <c r="AF40" i="1"/>
  <c r="AI40" i="1" s="1"/>
  <c r="AL46" i="1"/>
  <c r="AF48" i="1"/>
  <c r="AI48" i="1" s="1"/>
  <c r="AF50" i="1"/>
  <c r="AI50" i="1" s="1"/>
  <c r="AB55" i="1"/>
  <c r="AL56" i="1"/>
  <c r="AB60" i="1"/>
  <c r="AN13" i="1"/>
  <c r="AF18" i="1"/>
  <c r="AI18" i="1" s="1"/>
  <c r="AF23" i="1"/>
  <c r="AK36" i="1"/>
  <c r="AN53" i="1"/>
  <c r="AN56" i="1"/>
  <c r="AE65" i="1"/>
  <c r="AF57" i="1"/>
  <c r="AI57" i="1" s="1"/>
  <c r="AN60" i="1"/>
  <c r="AL13" i="1"/>
  <c r="AB21" i="1"/>
  <c r="AK65" i="1"/>
  <c r="Z11" i="1"/>
  <c r="AI11" i="1" s="1"/>
  <c r="AK19" i="1"/>
  <c r="AN21" i="1"/>
  <c r="AL45" i="1"/>
  <c r="AF49" i="1"/>
  <c r="AI49" i="1" s="1"/>
  <c r="AL51" i="1"/>
  <c r="AL58" i="1"/>
  <c r="AK60" i="1"/>
  <c r="AA69" i="1"/>
  <c r="AA49" i="1"/>
  <c r="AA40" i="1"/>
  <c r="AL37" i="1"/>
  <c r="AN54" i="1"/>
  <c r="AF32" i="1"/>
  <c r="AK35" i="1"/>
  <c r="AB40" i="1"/>
  <c r="AN52" i="1"/>
  <c r="AL55" i="1"/>
  <c r="AN59" i="1"/>
  <c r="AF66" i="1"/>
  <c r="AI66" i="1" s="1"/>
  <c r="AA66" i="1"/>
  <c r="AL66" i="1"/>
  <c r="AK66" i="1"/>
  <c r="AL16" i="1"/>
  <c r="AN19" i="1"/>
  <c r="AL35" i="1"/>
  <c r="AN36" i="1"/>
  <c r="AL44" i="1"/>
  <c r="AN51" i="1"/>
  <c r="AK57" i="1"/>
  <c r="AN58" i="1"/>
  <c r="AQ62" i="1"/>
  <c r="AF70" i="1"/>
  <c r="AN16" i="1"/>
  <c r="AN35" i="1"/>
  <c r="AF41" i="1"/>
  <c r="AI41" i="1" s="1"/>
  <c r="AN44" i="1"/>
  <c r="AA47" i="1"/>
  <c r="AA54" i="1"/>
  <c r="AL57" i="1"/>
  <c r="AF61" i="1"/>
  <c r="AI61" i="1" s="1"/>
  <c r="AR62" i="1"/>
  <c r="AA64" i="1"/>
  <c r="AF65" i="1"/>
  <c r="AI65" i="1" s="1"/>
  <c r="AA36" i="1"/>
  <c r="AN41" i="1"/>
  <c r="AB52" i="1"/>
  <c r="AN61" i="1"/>
  <c r="AF14" i="1"/>
  <c r="AI14" i="1" s="1"/>
  <c r="AB19" i="1"/>
  <c r="AF20" i="1"/>
  <c r="AI20" i="1" s="1"/>
  <c r="AA35" i="1"/>
  <c r="AB36" i="1"/>
  <c r="AF38" i="1"/>
  <c r="AI38" i="1" s="1"/>
  <c r="AK39" i="1"/>
  <c r="AN40" i="1"/>
  <c r="AP41" i="1"/>
  <c r="AA44" i="1"/>
  <c r="AF46" i="1"/>
  <c r="AI46" i="1" s="1"/>
  <c r="AK47" i="1"/>
  <c r="AN48" i="1"/>
  <c r="AB51" i="1"/>
  <c r="AF53" i="1"/>
  <c r="AI53" i="1" s="1"/>
  <c r="AK54" i="1"/>
  <c r="AN55" i="1"/>
  <c r="AB58" i="1"/>
  <c r="AK59" i="1"/>
  <c r="AL60" i="1"/>
  <c r="AF63" i="1"/>
  <c r="AI63" i="1" s="1"/>
  <c r="AK64" i="1"/>
  <c r="AF67" i="1"/>
  <c r="AA45" i="1"/>
  <c r="AB46" i="1"/>
  <c r="AA63" i="1"/>
  <c r="AA19" i="1"/>
  <c r="AF21" i="1"/>
  <c r="AI21" i="1" s="1"/>
  <c r="AB37" i="1"/>
  <c r="AB45" i="1"/>
  <c r="AA51" i="1"/>
  <c r="AA58" i="1"/>
  <c r="AA18" i="1"/>
  <c r="AF37" i="1"/>
  <c r="AI37" i="1" s="1"/>
  <c r="AL39" i="1"/>
  <c r="AF45" i="1"/>
  <c r="AI45" i="1" s="1"/>
  <c r="AL47" i="1"/>
  <c r="AA50" i="1"/>
  <c r="AF52" i="1"/>
  <c r="AI52" i="1" s="1"/>
  <c r="AL54" i="1"/>
  <c r="AA57" i="1"/>
  <c r="W11" i="1"/>
  <c r="AB20" i="1"/>
  <c r="AA37" i="1"/>
  <c r="AA52" i="1"/>
  <c r="AB53" i="1"/>
  <c r="AA67" i="1"/>
  <c r="AF13" i="1"/>
  <c r="AI13" i="1" s="1"/>
  <c r="AK14" i="1"/>
  <c r="AF19" i="1"/>
  <c r="AI19" i="1" s="1"/>
  <c r="AK20" i="1"/>
  <c r="AL21" i="1"/>
  <c r="AF36" i="1"/>
  <c r="AI36" i="1" s="1"/>
  <c r="AK38" i="1"/>
  <c r="AK46" i="1"/>
  <c r="AF51" i="1"/>
  <c r="AI51" i="1" s="1"/>
  <c r="AK53" i="1"/>
  <c r="AF58" i="1"/>
  <c r="AI58" i="1" s="1"/>
  <c r="AL67" i="1"/>
  <c r="AL20" i="1"/>
  <c r="AF16" i="1"/>
  <c r="AI16" i="1" s="1"/>
  <c r="AF35" i="1"/>
  <c r="AI35" i="1" s="1"/>
  <c r="AK37" i="1"/>
  <c r="AF44" i="1"/>
  <c r="AI44" i="1" s="1"/>
  <c r="AK45" i="1"/>
  <c r="AK52" i="1"/>
  <c r="AA41" i="1"/>
  <c r="AA61" i="1"/>
  <c r="AP13" i="1" l="1"/>
  <c r="AN11" i="1"/>
  <c r="AP12" i="1"/>
  <c r="AB11" i="1"/>
  <c r="AH11" i="1" s="1"/>
  <c r="AQ11" i="1"/>
  <c r="AF11" i="1"/>
  <c r="AP11" i="1"/>
  <c r="AK11" i="1"/>
  <c r="AL11" i="1"/>
  <c r="AA11" i="1"/>
  <c r="AG11" i="1" s="1"/>
  <c r="AP9" i="1"/>
</calcChain>
</file>

<file path=xl/sharedStrings.xml><?xml version="1.0" encoding="utf-8"?>
<sst xmlns="http://schemas.openxmlformats.org/spreadsheetml/2006/main" count="207" uniqueCount="156">
  <si>
    <t xml:space="preserve">          UBND PHƯỜNG BÌNH THẠNH</t>
  </si>
  <si>
    <t>c</t>
  </si>
  <si>
    <t xml:space="preserve">BAN QLDAĐTXD PHƯỜNG BÌNH THẠNH </t>
  </si>
  <si>
    <t>BÁO CÁO TÌNH HÌNH THỰC HIỆN CÔNG TÁC GIẢI NGÂN - VỐN ĐẦU TƯ CÔNG NĂM 2026</t>
  </si>
  <si>
    <t xml:space="preserve"> </t>
  </si>
  <si>
    <t>Đơn vị tính: Triệu đồng</t>
  </si>
  <si>
    <t>STT</t>
  </si>
  <si>
    <t>TÊN DA TRONG
 KẾ HOẠCH VỐN</t>
  </si>
  <si>
    <t>Mã dự án</t>
  </si>
  <si>
    <t>KHV NĂM 2017</t>
  </si>
  <si>
    <t>KHV NĂM 2018</t>
  </si>
  <si>
    <t>KHV NĂM 2019</t>
  </si>
  <si>
    <t>KHV NĂM 2020</t>
  </si>
  <si>
    <t>KHV NĂM 2021</t>
  </si>
  <si>
    <t>KHV NĂM 2022</t>
  </si>
  <si>
    <t>KHV NĂM 2023</t>
  </si>
  <si>
    <t>KHV NĂM 2024</t>
  </si>
  <si>
    <t>Lũy kế giải ngân đến năm 2020</t>
  </si>
  <si>
    <t>LŨY KẾ 
GIẢI NGÂN
ĐẾN 2024</t>
  </si>
  <si>
    <t>CAM KẾT GIẢI NGÂN NĂM 2026</t>
  </si>
  <si>
    <t>KẾ HOẠCH VỐN NĂM 2026</t>
  </si>
  <si>
    <t xml:space="preserve">TỔNG 
KHV NĂM 2026 ĐÃ GIAO
</t>
  </si>
  <si>
    <t xml:space="preserve">Số giải ngân đến cuối kỳ trước </t>
  </si>
  <si>
    <t>Số giải ngân
trong tuần (từ ngày 01/09/2026 đến 07/09/2026</t>
  </si>
  <si>
    <t>TỔNG SỐ GIẢI NGÂN ĐẾN NGÀY BÁO CÁO NGÀY 04/09/2026</t>
  </si>
  <si>
    <t xml:space="preserve">Tỷ lệ giải ngân (%) so với KHV đã giao </t>
  </si>
  <si>
    <t xml:space="preserve">Tỷ lệ giải ngân (%) so với cam kết giải ngân </t>
  </si>
  <si>
    <t>Uớc chi trong tháng 9/2026</t>
  </si>
  <si>
    <t>Số còn phải giải ngân so với ngày BC</t>
  </si>
  <si>
    <t>Số sẽ giải ngân từ ngày 30/12/205</t>
  </si>
  <si>
    <t>Số sẽ giải ngân từ ngày 31/12/205</t>
  </si>
  <si>
    <t>Số ước giải ngân đến 15/01/2025</t>
  </si>
  <si>
    <t>Ước Số tiền sẽ thanh toán đến ngày 31/05/2025</t>
  </si>
  <si>
    <t>Số còn phải giải ngân so với ngày BC ngày 17/01/2026</t>
  </si>
  <si>
    <t>Tỷ lệ giải ngân đến 17/01/2026</t>
  </si>
  <si>
    <t>Đã nhận HS PL3A</t>
  </si>
  <si>
    <t>Số tiền còn phải giải ngân</t>
  </si>
  <si>
    <t>Ghi chú</t>
  </si>
  <si>
    <t>Ước chi tháng 09/2026</t>
  </si>
  <si>
    <t>Số đã chi trong tháng 09/2026</t>
  </si>
  <si>
    <t>Số còn chi trong tháng 09/2026</t>
  </si>
  <si>
    <t>QĐ 3418 ngày 25/12/2025</t>
  </si>
  <si>
    <t>QĐ 545 ngày 28/05/2026</t>
  </si>
  <si>
    <t>QĐ 3461 ngày 10/06/2026</t>
  </si>
  <si>
    <t>QĐ 3781 ngày 24/06/2026</t>
  </si>
  <si>
    <t>QĐ 3828 ngày 26/06/2026</t>
  </si>
  <si>
    <t>QĐ 5545 ngày 25/08/2028</t>
  </si>
  <si>
    <t>QĐ 5546 ngày 25/08/2028</t>
  </si>
  <si>
    <t>TỔNG CỘNG:</t>
  </si>
  <si>
    <t>I</t>
  </si>
  <si>
    <t>DỰ ÁN ĐANG CHỜ QUYẾT TOÁN</t>
  </si>
  <si>
    <t>Lắp đặt cống hộp rạch nhánh Bùi Hữu Nghĩa</t>
  </si>
  <si>
    <t>7613516</t>
  </si>
  <si>
    <t>Mở rộng đường Bùi Đình Túy (đoạn từ hẻm 304 đến đường Phan Văn Trị) quận Bình Thạnh</t>
  </si>
  <si>
    <t>7613439</t>
  </si>
  <si>
    <t>II</t>
  </si>
  <si>
    <t>DỰ ÁN CHUẨN BỊ ĐẦU TƯ</t>
  </si>
  <si>
    <t>Xây dựng trạm trung chuyển chất thải rắn sinh hoát trên địa bàn quận Bình Thạnh</t>
  </si>
  <si>
    <t>7961760</t>
  </si>
  <si>
    <t>III</t>
  </si>
  <si>
    <t>DỰ ÁN CHUYỂN TIẾP</t>
  </si>
  <si>
    <t>Mở rộng hèm 265/5-265/8 Nơ Trang Long Phường 11</t>
  </si>
  <si>
    <t>8051015</t>
  </si>
  <si>
    <t>Mở rộng nâng cấp đường Chu Văn An (từ ngã 5 Bình Hòa đến đường Phan Chu Trinh quận Bình Thạnh)</t>
  </si>
  <si>
    <t>7588224</t>
  </si>
  <si>
    <t>3000</t>
  </si>
  <si>
    <t>Xây dựng công viên cây xanh tại Phường 12, quận Bình Thạnh</t>
  </si>
  <si>
    <t>Cải tạo nâng tầng trường THCS Phú Mỹ</t>
  </si>
  <si>
    <t>8058556</t>
  </si>
  <si>
    <t>Nâng cấp bờ bao rạch Cầu Cống Tổ 24 KP2 (đoạn từ tiếp giáp xông trình bờ bao năm 2017 đến công trình cừ nhựa uPVC Tổ 24)</t>
  </si>
  <si>
    <t>8051007</t>
  </si>
  <si>
    <t>Nâng cấp bờ bao rạch Cầu Cống Tổ 18-20-24 KP2 (đoạn từ quán câu cá Phú Lộc đến thượng lưu rạch)</t>
  </si>
  <si>
    <t>8050581</t>
  </si>
  <si>
    <t>Nâng cấp bờ bao kết hợp giao thông nông thôn rạch Ông Ngữ, Tổ 9, KP1</t>
  </si>
  <si>
    <t>8051008</t>
  </si>
  <si>
    <t>Nâng cấp bờ bao kết hợp giao thông nông thôn hẻm 534 Bình Quới, Tổ 16 Khu phố 1</t>
  </si>
  <si>
    <t>8051012</t>
  </si>
  <si>
    <t>Nâng cấp bờ bao rạch Sở Nhật, Tổ 19 KP2</t>
  </si>
  <si>
    <t>8050582</t>
  </si>
  <si>
    <t>Nâng cấp bờ bao rạch Ông Ngữ, KP 3</t>
  </si>
  <si>
    <t>8050579</t>
  </si>
  <si>
    <t>Nâng cấp bờ bao rạch Chùa, Tổ 31, 34 Khu phố 3</t>
  </si>
  <si>
    <t>8051014</t>
  </si>
  <si>
    <t>Nâng cấp bờ bao rạch Cây Bàng, Tổ 29 KP 3 (bờ trái rạch Cây Bàng)</t>
  </si>
  <si>
    <t>8050578</t>
  </si>
  <si>
    <t>Nâng cấp bờ bao rạch Ông Ngữ, Tổ 8-11 KP1 (Giáp sông SG về phía thượng lưu rạch)</t>
  </si>
  <si>
    <t>8050580</t>
  </si>
  <si>
    <t>Nâng cấp bờ bao rạch Cầu Cống, Tổ 24 Khu phố 2</t>
  </si>
  <si>
    <t>8050510</t>
  </si>
  <si>
    <t>Nâng cấp bờ bao rạch Cầu Làng, Tổ 22, 25</t>
  </si>
  <si>
    <t>8051009</t>
  </si>
  <si>
    <t>Nâng cấp bờ bao rạch Ông Ngữ, Tổ 15 - 24 Khu phố 1 - 2 (đoạn từ nhà số 480/53B đến thượng lưu rạch)</t>
  </si>
  <si>
    <t>8051011</t>
  </si>
  <si>
    <t>IV</t>
  </si>
  <si>
    <t>DA KHỞI CÔNG MỚI</t>
  </si>
  <si>
    <t>Cải tạo xây dựng mở rộng trường THCS Cù Chính Lan</t>
  </si>
  <si>
    <t>7961299</t>
  </si>
  <si>
    <t>Sửa chữa cải tạo Trường THCS Hà Huy Tập, quận Bình Thạnh</t>
  </si>
  <si>
    <t>Xây dựng mới Trường Tiểu học Tầm Vu, quận Bình Thạnh</t>
  </si>
  <si>
    <t>Cải tạo, xây dựng mới Trường Tiểu học Nguyễn Trọng Tuyển, quận Bình Thạnh</t>
  </si>
  <si>
    <t>Cải tạo, xây dựng mới Trường Tiểu học Hồng Hà, quận Bình Thạnh</t>
  </si>
  <si>
    <t>Cải tạo, xây dựng mới Trường Tiểu học Thanh Đa, quận Bình Thạnh</t>
  </si>
  <si>
    <t>Sửa chữa cải tạo Trường Tiểu học Phù Đổng, quận Bình Thạnh</t>
  </si>
  <si>
    <t>Sửa chữa cải tạo Trường Tiểu học Trần Quang Vinh quận Bình Thạnh</t>
  </si>
  <si>
    <t>Sửa chữa cải tạo Trường Tiểu học Bế Văn Đàn, quận Bình Thạnh</t>
  </si>
  <si>
    <t>Xây dựng mới trường Mầm Non 26B</t>
  </si>
  <si>
    <t>7962118</t>
  </si>
  <si>
    <t>Sửa chữa cải tạo Trường Mầm Non 7B, quận Bình Thạnh</t>
  </si>
  <si>
    <t>Cải tạo vỉa hè Lê Quang Định (từ ngã 5 Bình Hòa đến đường Bạch Đằng), phường 14, quận Bình Thạnh</t>
  </si>
  <si>
    <t>Cải tạo vỉa hè đường Nguyễn Thiện Thuật, phường 14, 24, quận Bình Thạnh</t>
  </si>
  <si>
    <t>Cải tạo vỉa hè đường Huỳnh Đình Hai, phường 14, 24, quận Bình Thạnh</t>
  </si>
  <si>
    <t>Cải tạo vỉa hè đường Nguyễn Cửu Vân, phường 17, quận Bình Thạnh</t>
  </si>
  <si>
    <t>Cải tạo vỉa hè đường Phan Văn Hân, phường 17, 19, quận Bình Thạnh</t>
  </si>
  <si>
    <t>Cải tạo vỉa hè đường Đinh Bộ Lĩnh (từ đường Nguyễn Xí đến đường Điện Biên Phủ), phường 15,24,26, quận Bình Thạnh</t>
  </si>
  <si>
    <t>Nâng cấp cụm hẻm 251,257 Lê Quang Định, phường 7, quận Bình Thạnh</t>
  </si>
  <si>
    <t>Nâng cấp cụm hẻm 47/24 đường Bùi Đình Túy, hẻm 22 Huỳnh Đình Hai, phường 24, quận Bình Thạnh</t>
  </si>
  <si>
    <t>Nâng cấp cụm hẻm 75 Bình Quới, phường 27, hẻm 449 Lê Quang Định, phường 5 hẻm 265 Nơ Trang Long phường 11 hẻm 222 Bùi Đình Túy, phường 12 quận Bình Thạnh</t>
  </si>
  <si>
    <t>Cải tạo vỉa hè đường Vũ Tùng, phường 2 quận Bình Thạnh</t>
  </si>
  <si>
    <t>Cải tạo vỉa hè đường Phan Chu Trinh, phường 2,14,24 Quận Bình Thạnh</t>
  </si>
  <si>
    <t>Cải tạo vỉa hè đường Phan Đăng Lưu, Phường 1, 3, 7, 14, quận Bình Thạnh</t>
  </si>
  <si>
    <t>Nâng cấp các tuyến đường hẻm trên địa bàn phường 2,5,11,13,14,24,27, quận Bình Thạnh</t>
  </si>
  <si>
    <t>Nâng cấp các tuyến đường hẻm trên địa bàn phường 1,3,6,17,19,21,22,25,26,28 quận Bình Thạnh</t>
  </si>
  <si>
    <t>Cải tạo nâng cấp đường Đặng Thùy Trâm, phường 13, quận Bình Thạnh</t>
  </si>
  <si>
    <t>Xây dựng kiên cố tuyến kè Thanh Đa - đoạn 1.1, phường 25, quận Bình Thạnh</t>
  </si>
  <si>
    <t>V</t>
  </si>
  <si>
    <t>CÔNG TRÌNH DO UBND PHƯỜNG BÌNH THẠNH GIAO</t>
  </si>
  <si>
    <t xml:space="preserve"> Sửa chữa, cải tạo Trường Mầm Non 14 Phường Bình Thạnh</t>
  </si>
  <si>
    <t>8194549</t>
  </si>
  <si>
    <t xml:space="preserve">Nâng cấp, cải tạo các tuyến hẻm Chu Văn An, phường Bình Thạnh. </t>
  </si>
  <si>
    <t>8194223</t>
  </si>
  <si>
    <t>Nâng cấp, cải tạo các tuyến hẻm Phan Chu Trinh, Bùi Đình Túy, Bạch Đằng, Phường Bình Thạnh</t>
  </si>
  <si>
    <t>8194222</t>
  </si>
  <si>
    <t xml:space="preserve">Nâng cấp, cải tạo hẻm 334, 340, 346, 352, 328, 340, 363, 368, 378, 408 Chu Văn An, Phường Bình Thạnh </t>
  </si>
  <si>
    <t>8194547</t>
  </si>
  <si>
    <t>Nâng cấp, cải tạo hẻm 245, 251, 273, 365, 393, 401, 419 Chu Văn An (Cải tạo mặt đường và hệ thống thoát nước)</t>
  </si>
  <si>
    <t>8194550</t>
  </si>
  <si>
    <t>Nâng cấp, cải tạo các tuyến hẻm thuộc khu cư xá Cogido, P. Bình Thạnh 
- Hẻm 8. 20 Đinh Bộ Lĩnh nối thông Xô Viết Nghệ Tĩnh. 
- Hẻm 87 nối thông hẻm 97 Phan Văn Trị. 
- Hẻm 356 Bạch Đằng (từ Bạch Đằng đến Huỳnh Đình Hai)</t>
  </si>
  <si>
    <t>8194551</t>
  </si>
  <si>
    <t>Nâng cấp, cải tạo cụm hẻm 217 Bùi Đình Túy kết nối hẻm 125 Bùi Đình Túy, phường Bình Thạnh (cải tạo mặt đường và hệ thống thoát nước)</t>
  </si>
  <si>
    <t>8194548</t>
  </si>
  <si>
    <t>Sửa chữa Hội trường B tại số 6 Phan Đăng Lưu, Phường Bình Thạnh</t>
  </si>
  <si>
    <t>8194553</t>
  </si>
  <si>
    <t>Xây dựng cầu nối hẻm 118 Bạch Đằng và hẻm 47 Bùi Đình Túy, phường Bình Thạnh</t>
  </si>
  <si>
    <t>8194552</t>
  </si>
  <si>
    <t>Tu bổ, tôn tạo di tích Quốc gia Đình Bình Hòa, phường Bình Thạnh</t>
  </si>
  <si>
    <t>8194221</t>
  </si>
  <si>
    <t>Xây dựng mới Trường Tiểu học tầm Vu (giai đoạn 2)</t>
  </si>
  <si>
    <t>Trần Gia Phúc</t>
  </si>
  <si>
    <t>Nguyễn Trần Đăng Khuê</t>
  </si>
  <si>
    <t>Đỗ Nam Hưng</t>
  </si>
  <si>
    <t>Nguyễn Văn Hiệp</t>
  </si>
  <si>
    <t>Hoàng Thị Nơi</t>
  </si>
  <si>
    <t>Nguyễn Trần Bảo Nghi</t>
  </si>
  <si>
    <t>Nguyễn Phi Hoàng</t>
  </si>
  <si>
    <t>Cán Bộ Kỹ Thuật</t>
  </si>
  <si>
    <t>(Tính đến ngày 10/09/2026)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</si>
</sst>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_-* #,##0.00\ _₫_-;\-* #,##0.00\ _₫_-;_-* &quot;-&quot;??\ _₫_-;_-@"/>
    <numFmt numFmtId="166" formatCode="_-* #,##0_-;\-* #,##0_-;_-* &quot;-&quot;??_-;_-@"/>
    <numFmt numFmtId="167" formatCode="_-* #,##0.0_-;\-* #,##0.0_-;_-* &quot;-&quot;??_-;_-@"/>
    <numFmt numFmtId="168" formatCode="_-* #,##0\ _₫_-;\-* #,##0\ _₫_-;_-* &quot;-&quot;??\ _₫_-;_-@_-"/>
    <numFmt numFmtId="169" formatCode="0.0%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u/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i/>
      <u/>
      <sz val="11"/>
      <name val="Times New Roman"/>
      <family val="1"/>
    </font>
    <font>
      <u/>
      <sz val="11"/>
      <color theme="0"/>
      <name val="Times New Roman"/>
      <family val="1"/>
    </font>
    <font>
      <i/>
      <sz val="11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FF00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B4C6E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6">
    <xf numFmtId="0" fontId="0" fillId="0" borderId="0" xfId="0"/>
    <xf numFmtId="0" fontId="3" fillId="3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1" fillId="0" borderId="0" xfId="0" applyFont="1"/>
    <xf numFmtId="0" fontId="12" fillId="0" borderId="0" xfId="0" applyFont="1"/>
    <xf numFmtId="164" fontId="13" fillId="0" borderId="0" xfId="0" applyNumberFormat="1" applyFont="1"/>
    <xf numFmtId="0" fontId="3" fillId="0" borderId="0" xfId="0" applyFont="1"/>
    <xf numFmtId="0" fontId="6" fillId="2" borderId="0" xfId="0" applyFont="1" applyFill="1"/>
    <xf numFmtId="0" fontId="16" fillId="2" borderId="0" xfId="0" applyFont="1" applyFill="1" applyAlignment="1">
      <alignment horizontal="left"/>
    </xf>
    <xf numFmtId="0" fontId="17" fillId="2" borderId="0" xfId="0" applyFont="1" applyFill="1"/>
    <xf numFmtId="0" fontId="4" fillId="2" borderId="0" xfId="0" applyFont="1" applyFill="1" applyAlignment="1">
      <alignment wrapText="1"/>
    </xf>
    <xf numFmtId="0" fontId="18" fillId="2" borderId="0" xfId="0" applyFont="1" applyFill="1" applyAlignment="1">
      <alignment horizont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64" fontId="3" fillId="0" borderId="0" xfId="0" applyNumberFormat="1" applyFont="1"/>
    <xf numFmtId="9" fontId="6" fillId="2" borderId="0" xfId="0" applyNumberFormat="1" applyFont="1" applyFill="1"/>
    <xf numFmtId="0" fontId="22" fillId="3" borderId="10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166" fontId="25" fillId="0" borderId="1" xfId="0" quotePrefix="1" applyNumberFormat="1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 wrapText="1"/>
    </xf>
    <xf numFmtId="164" fontId="27" fillId="3" borderId="1" xfId="0" applyNumberFormat="1" applyFont="1" applyFill="1" applyBorder="1" applyAlignment="1">
      <alignment horizontal="center" vertical="center"/>
    </xf>
    <xf numFmtId="164" fontId="26" fillId="5" borderId="1" xfId="0" applyNumberFormat="1" applyFont="1" applyFill="1" applyBorder="1" applyAlignment="1">
      <alignment horizontal="center" vertical="center"/>
    </xf>
    <xf numFmtId="167" fontId="26" fillId="5" borderId="1" xfId="0" applyNumberFormat="1" applyFont="1" applyFill="1" applyBorder="1" applyAlignment="1">
      <alignment horizontal="center" vertical="center"/>
    </xf>
    <xf numFmtId="10" fontId="26" fillId="5" borderId="1" xfId="0" applyNumberFormat="1" applyFont="1" applyFill="1" applyBorder="1" applyAlignment="1">
      <alignment horizontal="center" vertical="center"/>
    </xf>
    <xf numFmtId="168" fontId="26" fillId="5" borderId="1" xfId="1" applyNumberFormat="1" applyFont="1" applyFill="1" applyBorder="1" applyAlignment="1">
      <alignment horizontal="center" vertical="center"/>
    </xf>
    <xf numFmtId="164" fontId="26" fillId="6" borderId="1" xfId="0" applyNumberFormat="1" applyFont="1" applyFill="1" applyBorder="1" applyAlignment="1">
      <alignment horizontal="center" vertical="center"/>
    </xf>
    <xf numFmtId="164" fontId="22" fillId="5" borderId="1" xfId="0" applyNumberFormat="1" applyFont="1" applyFill="1" applyBorder="1" applyAlignment="1">
      <alignment horizontal="center" vertical="center"/>
    </xf>
    <xf numFmtId="10" fontId="22" fillId="5" borderId="1" xfId="2" applyNumberFormat="1" applyFont="1" applyFill="1" applyBorder="1" applyAlignment="1">
      <alignment horizontal="center" vertical="center"/>
    </xf>
    <xf numFmtId="164" fontId="26" fillId="5" borderId="1" xfId="0" applyNumberFormat="1" applyFont="1" applyFill="1" applyBorder="1" applyAlignment="1">
      <alignment horizontal="center" vertical="center" wrapText="1"/>
    </xf>
    <xf numFmtId="168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164" fontId="29" fillId="0" borderId="1" xfId="0" applyNumberFormat="1" applyFont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/>
    </xf>
    <xf numFmtId="9" fontId="17" fillId="2" borderId="1" xfId="0" applyNumberFormat="1" applyFont="1" applyFill="1" applyBorder="1" applyAlignment="1">
      <alignment horizontal="center" vertical="center"/>
    </xf>
    <xf numFmtId="9" fontId="26" fillId="2" borderId="1" xfId="0" applyNumberFormat="1" applyFont="1" applyFill="1" applyBorder="1" applyAlignment="1">
      <alignment horizontal="center" vertical="center" wrapText="1"/>
    </xf>
    <xf numFmtId="168" fontId="17" fillId="5" borderId="1" xfId="1" applyNumberFormat="1" applyFont="1" applyFill="1" applyBorder="1" applyAlignment="1">
      <alignment horizontal="center" vertical="center"/>
    </xf>
    <xf numFmtId="166" fontId="26" fillId="7" borderId="1" xfId="0" applyNumberFormat="1" applyFont="1" applyFill="1" applyBorder="1" applyAlignment="1">
      <alignment horizontal="left" vertical="center" wrapText="1"/>
    </xf>
    <xf numFmtId="168" fontId="28" fillId="2" borderId="1" xfId="1" quotePrefix="1" applyNumberFormat="1" applyFont="1" applyFill="1" applyBorder="1" applyAlignment="1">
      <alignment horizontal="center" vertical="center" wrapText="1"/>
    </xf>
    <xf numFmtId="164" fontId="31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22" fillId="2" borderId="1" xfId="0" quotePrefix="1" applyFont="1" applyFill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 wrapText="1"/>
    </xf>
    <xf numFmtId="164" fontId="28" fillId="2" borderId="1" xfId="0" applyNumberFormat="1" applyFont="1" applyFill="1" applyBorder="1" applyAlignment="1">
      <alignment horizontal="center" vertical="center" wrapText="1"/>
    </xf>
    <xf numFmtId="164" fontId="25" fillId="2" borderId="1" xfId="0" applyNumberFormat="1" applyFont="1" applyFill="1" applyBorder="1" applyAlignment="1">
      <alignment horizontal="center" vertical="center" wrapText="1"/>
    </xf>
    <xf numFmtId="164" fontId="32" fillId="2" borderId="1" xfId="0" applyNumberFormat="1" applyFont="1" applyFill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/>
    </xf>
    <xf numFmtId="10" fontId="17" fillId="2" borderId="1" xfId="2" applyNumberFormat="1" applyFont="1" applyFill="1" applyBorder="1" applyAlignment="1">
      <alignment horizontal="center" vertical="center"/>
    </xf>
    <xf numFmtId="10" fontId="17" fillId="2" borderId="1" xfId="0" applyNumberFormat="1" applyFont="1" applyFill="1" applyBorder="1" applyAlignment="1">
      <alignment horizontal="center" vertical="center"/>
    </xf>
    <xf numFmtId="168" fontId="17" fillId="2" borderId="1" xfId="1" applyNumberFormat="1" applyFont="1" applyFill="1" applyBorder="1" applyAlignment="1">
      <alignment horizontal="right" vertical="center"/>
    </xf>
    <xf numFmtId="166" fontId="33" fillId="2" borderId="1" xfId="0" applyNumberFormat="1" applyFont="1" applyFill="1" applyBorder="1" applyAlignment="1">
      <alignment horizontal="center" vertical="center" wrapText="1"/>
    </xf>
    <xf numFmtId="166" fontId="34" fillId="2" borderId="1" xfId="0" applyNumberFormat="1" applyFont="1" applyFill="1" applyBorder="1" applyAlignment="1">
      <alignment horizontal="left" vertical="center" wrapText="1"/>
    </xf>
    <xf numFmtId="166" fontId="35" fillId="2" borderId="1" xfId="0" applyNumberFormat="1" applyFont="1" applyFill="1" applyBorder="1" applyAlignment="1">
      <alignment horizontal="left" vertical="center" wrapText="1"/>
    </xf>
    <xf numFmtId="166" fontId="33" fillId="2" borderId="1" xfId="0" applyNumberFormat="1" applyFont="1" applyFill="1" applyBorder="1" applyAlignment="1">
      <alignment horizontal="left" vertical="center" wrapText="1"/>
    </xf>
    <xf numFmtId="10" fontId="0" fillId="0" borderId="0" xfId="2" applyNumberFormat="1" applyFont="1" applyAlignment="1"/>
    <xf numFmtId="166" fontId="35" fillId="2" borderId="1" xfId="0" applyNumberFormat="1" applyFont="1" applyFill="1" applyBorder="1" applyAlignment="1">
      <alignment horizontal="center" vertical="center" wrapText="1"/>
    </xf>
    <xf numFmtId="9" fontId="22" fillId="5" borderId="1" xfId="2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2" fillId="2" borderId="1" xfId="0" quotePrefix="1" applyFont="1" applyFill="1" applyBorder="1" applyAlignment="1">
      <alignment horizontal="center" vertical="center" wrapText="1"/>
    </xf>
    <xf numFmtId="164" fontId="36" fillId="2" borderId="1" xfId="0" applyNumberFormat="1" applyFont="1" applyFill="1" applyBorder="1" applyAlignment="1">
      <alignment horizontal="center" vertical="center" wrapText="1"/>
    </xf>
    <xf numFmtId="166" fontId="34" fillId="2" borderId="1" xfId="0" quotePrefix="1" applyNumberFormat="1" applyFont="1" applyFill="1" applyBorder="1" applyAlignment="1">
      <alignment horizontal="left" vertical="center" wrapText="1"/>
    </xf>
    <xf numFmtId="166" fontId="33" fillId="2" borderId="1" xfId="0" quotePrefix="1" applyNumberFormat="1" applyFont="1" applyFill="1" applyBorder="1" applyAlignment="1">
      <alignment horizontal="left" vertical="center" wrapText="1"/>
    </xf>
    <xf numFmtId="164" fontId="28" fillId="8" borderId="1" xfId="0" applyNumberFormat="1" applyFont="1" applyFill="1" applyBorder="1" applyAlignment="1">
      <alignment horizontal="center" vertical="center" wrapText="1"/>
    </xf>
    <xf numFmtId="49" fontId="37" fillId="2" borderId="1" xfId="0" quotePrefix="1" applyNumberFormat="1" applyFont="1" applyFill="1" applyBorder="1" applyAlignment="1">
      <alignment horizontal="left" vertical="center" wrapText="1"/>
    </xf>
    <xf numFmtId="49" fontId="37" fillId="2" borderId="1" xfId="0" applyNumberFormat="1" applyFont="1" applyFill="1" applyBorder="1" applyAlignment="1">
      <alignment horizontal="left" vertical="center" wrapText="1"/>
    </xf>
    <xf numFmtId="168" fontId="37" fillId="2" borderId="1" xfId="1" applyNumberFormat="1" applyFont="1" applyFill="1" applyBorder="1" applyAlignment="1">
      <alignment horizontal="left" vertical="center" wrapText="1"/>
    </xf>
    <xf numFmtId="166" fontId="0" fillId="0" borderId="0" xfId="0" applyNumberFormat="1"/>
    <xf numFmtId="168" fontId="34" fillId="2" borderId="1" xfId="1" applyNumberFormat="1" applyFont="1" applyFill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left" vertical="center" wrapText="1"/>
    </xf>
    <xf numFmtId="164" fontId="36" fillId="3" borderId="1" xfId="0" applyNumberFormat="1" applyFont="1" applyFill="1" applyBorder="1" applyAlignment="1">
      <alignment horizontal="center" vertical="center" wrapText="1"/>
    </xf>
    <xf numFmtId="164" fontId="26" fillId="2" borderId="1" xfId="0" quotePrefix="1" applyNumberFormat="1" applyFont="1" applyFill="1" applyBorder="1" applyAlignment="1">
      <alignment horizontal="center" vertical="center" wrapText="1"/>
    </xf>
    <xf numFmtId="164" fontId="26" fillId="2" borderId="1" xfId="0" applyNumberFormat="1" applyFont="1" applyFill="1" applyBorder="1" applyAlignment="1">
      <alignment horizontal="center" vertical="center" wrapText="1"/>
    </xf>
    <xf numFmtId="168" fontId="0" fillId="0" borderId="0" xfId="1" applyNumberFormat="1" applyFont="1" applyAlignment="1"/>
    <xf numFmtId="0" fontId="28" fillId="2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vertical="center" wrapText="1"/>
    </xf>
    <xf numFmtId="169" fontId="17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168" fontId="17" fillId="2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8" fontId="0" fillId="0" borderId="0" xfId="0" applyNumberFormat="1"/>
    <xf numFmtId="49" fontId="39" fillId="0" borderId="1" xfId="0" applyNumberFormat="1" applyFont="1" applyBorder="1" applyAlignment="1">
      <alignment horizontal="center" vertical="center" wrapText="1"/>
    </xf>
    <xf numFmtId="9" fontId="17" fillId="2" borderId="1" xfId="2" applyFont="1" applyFill="1" applyBorder="1" applyAlignment="1">
      <alignment horizontal="center" vertical="center"/>
    </xf>
    <xf numFmtId="164" fontId="28" fillId="2" borderId="1" xfId="0" quotePrefix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68" fontId="0" fillId="0" borderId="1" xfId="1" applyNumberFormat="1" applyFont="1" applyBorder="1"/>
    <xf numFmtId="0" fontId="40" fillId="0" borderId="1" xfId="0" applyFont="1" applyBorder="1" applyAlignment="1">
      <alignment vertical="center"/>
    </xf>
    <xf numFmtId="9" fontId="0" fillId="0" borderId="1" xfId="2" applyFont="1" applyBorder="1" applyAlignment="1">
      <alignment vertical="center"/>
    </xf>
    <xf numFmtId="0" fontId="22" fillId="2" borderId="1" xfId="0" quotePrefix="1" applyFont="1" applyFill="1" applyBorder="1" applyAlignment="1">
      <alignment vertical="center" wrapText="1"/>
    </xf>
    <xf numFmtId="0" fontId="1" fillId="0" borderId="11" xfId="0" applyFont="1" applyBorder="1"/>
    <xf numFmtId="164" fontId="28" fillId="2" borderId="11" xfId="0" applyNumberFormat="1" applyFont="1" applyFill="1" applyBorder="1" applyAlignment="1">
      <alignment vertical="center" wrapText="1"/>
    </xf>
    <xf numFmtId="0" fontId="17" fillId="0" borderId="1" xfId="0" applyFont="1" applyBorder="1"/>
    <xf numFmtId="168" fontId="17" fillId="0" borderId="1" xfId="1" applyNumberFormat="1" applyFont="1" applyBorder="1"/>
    <xf numFmtId="0" fontId="40" fillId="0" borderId="11" xfId="0" applyFont="1" applyBorder="1" applyAlignment="1">
      <alignment vertical="center"/>
    </xf>
    <xf numFmtId="9" fontId="0" fillId="0" borderId="11" xfId="2" applyFont="1" applyBorder="1" applyAlignment="1">
      <alignment vertical="center"/>
    </xf>
    <xf numFmtId="10" fontId="17" fillId="2" borderId="11" xfId="0" applyNumberFormat="1" applyFont="1" applyFill="1" applyBorder="1" applyAlignment="1">
      <alignment vertical="center"/>
    </xf>
    <xf numFmtId="9" fontId="0" fillId="3" borderId="11" xfId="2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68" fontId="17" fillId="0" borderId="1" xfId="1" applyNumberFormat="1" applyFont="1" applyBorder="1" applyAlignment="1"/>
    <xf numFmtId="9" fontId="0" fillId="0" borderId="1" xfId="2" applyFont="1" applyBorder="1" applyAlignment="1">
      <alignment horizontal="right" vertical="center" indent="1"/>
    </xf>
    <xf numFmtId="9" fontId="0" fillId="3" borderId="1" xfId="2" applyFont="1" applyFill="1" applyBorder="1" applyAlignment="1">
      <alignment horizontal="center" vertical="center"/>
    </xf>
    <xf numFmtId="0" fontId="40" fillId="0" borderId="1" xfId="0" applyFont="1" applyBorder="1"/>
    <xf numFmtId="0" fontId="17" fillId="3" borderId="1" xfId="0" applyFont="1" applyFill="1" applyBorder="1" applyAlignment="1">
      <alignment horizontal="left" vertical="center" wrapText="1"/>
    </xf>
    <xf numFmtId="49" fontId="39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3" borderId="1" xfId="0" applyFont="1" applyFill="1" applyBorder="1"/>
    <xf numFmtId="0" fontId="17" fillId="3" borderId="1" xfId="0" applyFont="1" applyFill="1" applyBorder="1"/>
    <xf numFmtId="168" fontId="17" fillId="3" borderId="1" xfId="1" applyNumberFormat="1" applyFont="1" applyFill="1" applyBorder="1" applyAlignment="1"/>
    <xf numFmtId="164" fontId="21" fillId="3" borderId="1" xfId="0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vertical="center"/>
    </xf>
    <xf numFmtId="9" fontId="0" fillId="3" borderId="1" xfId="2" applyFont="1" applyFill="1" applyBorder="1" applyAlignment="1">
      <alignment horizontal="right" vertical="center" indent="1"/>
    </xf>
    <xf numFmtId="0" fontId="0" fillId="4" borderId="0" xfId="0" applyFill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40" fillId="0" borderId="0" xfId="0" applyFont="1"/>
    <xf numFmtId="1" fontId="33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164" fontId="26" fillId="10" borderId="1" xfId="0" applyNumberFormat="1" applyFont="1" applyFill="1" applyBorder="1" applyAlignment="1">
      <alignment horizontal="center" vertical="center"/>
    </xf>
    <xf numFmtId="164" fontId="30" fillId="9" borderId="1" xfId="0" applyNumberFormat="1" applyFont="1" applyFill="1" applyBorder="1" applyAlignment="1">
      <alignment horizontal="center" vertical="center" wrapText="1"/>
    </xf>
    <xf numFmtId="164" fontId="21" fillId="9" borderId="1" xfId="0" applyNumberFormat="1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vertical="center"/>
    </xf>
    <xf numFmtId="0" fontId="40" fillId="9" borderId="11" xfId="0" applyFont="1" applyFill="1" applyBorder="1" applyAlignment="1">
      <alignment vertical="center"/>
    </xf>
    <xf numFmtId="0" fontId="40" fillId="9" borderId="1" xfId="0" applyFont="1" applyFill="1" applyBorder="1"/>
    <xf numFmtId="0" fontId="40" fillId="9" borderId="0" xfId="0" applyFont="1" applyFill="1"/>
    <xf numFmtId="0" fontId="3" fillId="9" borderId="0" xfId="0" applyFont="1" applyFill="1"/>
    <xf numFmtId="0" fontId="2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3" fillId="4" borderId="1" xfId="0" applyFont="1" applyFill="1" applyBorder="1"/>
    <xf numFmtId="165" fontId="22" fillId="0" borderId="1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5" fontId="23" fillId="0" borderId="1" xfId="0" applyNumberFormat="1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9" borderId="0" xfId="0" applyFont="1" applyFill="1"/>
    <xf numFmtId="0" fontId="7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0" borderId="0" xfId="0" applyFont="1"/>
    <xf numFmtId="0" fontId="3" fillId="0" borderId="1" xfId="0" applyFont="1" applyBorder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5F66-05D5-4ED1-A0A9-0ABADD06F7DE}">
  <dimension ref="A1:AS983"/>
  <sheetViews>
    <sheetView tabSelected="1" topLeftCell="U1" zoomScale="80" zoomScaleNormal="80" workbookViewId="0">
      <selection activeCell="AO1" sqref="AO1:AO1048576"/>
    </sheetView>
  </sheetViews>
  <sheetFormatPr defaultColWidth="14.42578125" defaultRowHeight="15" x14ac:dyDescent="0.25"/>
  <cols>
    <col min="1" max="1" width="9.5703125" customWidth="1"/>
    <col min="2" max="2" width="33" style="152" customWidth="1"/>
    <col min="3" max="3" width="9.42578125" style="117" customWidth="1"/>
    <col min="4" max="11" width="8.5703125" hidden="1" customWidth="1"/>
    <col min="12" max="12" width="12.140625" hidden="1" customWidth="1"/>
    <col min="13" max="13" width="10.5703125" hidden="1" customWidth="1"/>
    <col min="14" max="14" width="11.5703125" style="117" hidden="1" customWidth="1"/>
    <col min="15" max="15" width="13.140625" customWidth="1"/>
    <col min="16" max="17" width="10.5703125" customWidth="1"/>
    <col min="18" max="18" width="9.5703125" customWidth="1"/>
    <col min="19" max="19" width="17.42578125" customWidth="1"/>
    <col min="20" max="20" width="16.42578125" customWidth="1"/>
    <col min="21" max="21" width="11.140625" customWidth="1"/>
    <col min="22" max="22" width="8.5703125" customWidth="1"/>
    <col min="23" max="23" width="14.140625" customWidth="1"/>
    <col min="24" max="24" width="10" style="153" customWidth="1"/>
    <col min="25" max="25" width="11.140625" style="164" customWidth="1"/>
    <col min="26" max="26" width="11.140625" style="153" customWidth="1"/>
    <col min="27" max="27" width="11.42578125" customWidth="1"/>
    <col min="28" max="28" width="10.5703125" customWidth="1"/>
    <col min="29" max="29" width="10.85546875" style="47" customWidth="1"/>
    <col min="30" max="30" width="12.5703125" style="47" customWidth="1"/>
    <col min="31" max="31" width="11.140625" style="47" customWidth="1"/>
    <col min="32" max="32" width="9.5703125" customWidth="1"/>
    <col min="33" max="34" width="14.5703125" customWidth="1"/>
    <col min="35" max="35" width="15.5703125" customWidth="1"/>
    <col min="36" max="36" width="11.42578125" customWidth="1"/>
    <col min="37" max="37" width="12.140625" customWidth="1"/>
    <col min="38" max="38" width="17.5703125" customWidth="1"/>
    <col min="39" max="39" width="12.42578125" customWidth="1"/>
    <col min="40" max="40" width="15.85546875" customWidth="1"/>
    <col min="41" max="41" width="15" style="117" customWidth="1"/>
    <col min="42" max="44" width="0" hidden="1" customWidth="1"/>
  </cols>
  <sheetData>
    <row r="1" spans="1:45" ht="15.75" x14ac:dyDescent="0.25">
      <c r="A1" s="186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8"/>
      <c r="Z1" s="187"/>
      <c r="AA1" s="187"/>
      <c r="AB1" s="187"/>
      <c r="AC1" s="1"/>
      <c r="AD1" s="1"/>
      <c r="AE1" s="1"/>
      <c r="AF1" s="2"/>
      <c r="AG1" s="3"/>
      <c r="AH1" s="3"/>
      <c r="AI1" s="3"/>
      <c r="AJ1" s="4"/>
      <c r="AK1" s="4"/>
      <c r="AL1" s="4">
        <v>500</v>
      </c>
      <c r="AM1" s="4"/>
      <c r="AN1" s="4"/>
      <c r="AO1" s="5" t="s">
        <v>1</v>
      </c>
    </row>
    <row r="2" spans="1:45" ht="17.100000000000001" customHeight="1" x14ac:dyDescent="0.25">
      <c r="A2" s="189" t="s">
        <v>2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8"/>
      <c r="Z2" s="187"/>
      <c r="AA2" s="187"/>
      <c r="AB2" s="187"/>
      <c r="AC2" s="1"/>
      <c r="AD2" s="1"/>
      <c r="AE2" s="1"/>
      <c r="AF2" s="2"/>
      <c r="AG2" s="3"/>
      <c r="AH2" s="3"/>
      <c r="AI2" s="3"/>
      <c r="AJ2" s="4"/>
      <c r="AK2" s="4"/>
      <c r="AL2" s="4"/>
      <c r="AM2" s="4"/>
      <c r="AN2" s="4"/>
      <c r="AO2" s="6"/>
    </row>
    <row r="3" spans="1:45" ht="14.25" customHeight="1" x14ac:dyDescent="0.35">
      <c r="A3" s="7"/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12"/>
      <c r="Q3" s="12"/>
      <c r="R3" s="12"/>
      <c r="S3" s="13"/>
      <c r="T3" s="12"/>
      <c r="U3" s="12"/>
      <c r="V3" s="12"/>
      <c r="W3" s="14"/>
      <c r="X3" s="15"/>
      <c r="Y3" s="165"/>
      <c r="Z3" s="15"/>
      <c r="AA3" s="16"/>
      <c r="AB3" s="16"/>
      <c r="AC3" s="16"/>
      <c r="AD3" s="16"/>
      <c r="AE3" s="16"/>
      <c r="AF3" s="2"/>
      <c r="AG3" s="3"/>
      <c r="AH3" s="3"/>
      <c r="AI3" s="3"/>
      <c r="AJ3" s="4"/>
      <c r="AK3" s="4"/>
      <c r="AL3" s="4"/>
      <c r="AM3" s="4"/>
      <c r="AN3" s="4"/>
      <c r="AO3" s="5"/>
    </row>
    <row r="4" spans="1:45" ht="20.25" customHeight="1" x14ac:dyDescent="0.3">
      <c r="A4" s="190" t="s">
        <v>3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8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</row>
    <row r="5" spans="1:45" ht="17.25" x14ac:dyDescent="0.3">
      <c r="A5" s="191" t="s">
        <v>155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8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5" ht="14.25" customHeight="1" x14ac:dyDescent="0.25">
      <c r="A6" s="16"/>
      <c r="B6" s="17"/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21"/>
      <c r="Q6" s="21"/>
      <c r="R6" s="21"/>
      <c r="S6" s="22"/>
      <c r="T6" s="21"/>
      <c r="U6" s="21"/>
      <c r="V6" s="21"/>
      <c r="W6" s="23"/>
      <c r="X6" s="15" t="s">
        <v>4</v>
      </c>
      <c r="Y6" s="165"/>
      <c r="Z6" s="24"/>
      <c r="AA6" s="25"/>
      <c r="AB6" s="16"/>
      <c r="AC6" s="16"/>
      <c r="AD6" s="16"/>
      <c r="AE6" s="16"/>
      <c r="AF6" s="192" t="s">
        <v>5</v>
      </c>
      <c r="AG6" s="193"/>
      <c r="AH6" s="193"/>
      <c r="AI6" s="193"/>
      <c r="AJ6" s="193"/>
      <c r="AK6" s="193"/>
      <c r="AL6" s="193"/>
      <c r="AM6" s="193"/>
      <c r="AN6" s="193"/>
      <c r="AO6" s="193"/>
    </row>
    <row r="7" spans="1:45" ht="14.25" customHeight="1" x14ac:dyDescent="0.25">
      <c r="A7" s="166" t="s">
        <v>6</v>
      </c>
      <c r="B7" s="166" t="s">
        <v>7</v>
      </c>
      <c r="C7" s="195" t="s">
        <v>8</v>
      </c>
      <c r="D7" s="166" t="s">
        <v>9</v>
      </c>
      <c r="E7" s="166" t="s">
        <v>10</v>
      </c>
      <c r="F7" s="166" t="s">
        <v>11</v>
      </c>
      <c r="G7" s="166" t="s">
        <v>12</v>
      </c>
      <c r="H7" s="166" t="s">
        <v>13</v>
      </c>
      <c r="I7" s="166" t="s">
        <v>14</v>
      </c>
      <c r="J7" s="166" t="s">
        <v>15</v>
      </c>
      <c r="K7" s="166" t="s">
        <v>16</v>
      </c>
      <c r="L7" s="172" t="s">
        <v>17</v>
      </c>
      <c r="M7" s="166" t="s">
        <v>18</v>
      </c>
      <c r="N7" s="166" t="s">
        <v>19</v>
      </c>
      <c r="O7" s="174" t="s">
        <v>20</v>
      </c>
      <c r="P7" s="175"/>
      <c r="Q7" s="175"/>
      <c r="R7" s="175"/>
      <c r="S7" s="175"/>
      <c r="T7" s="175"/>
      <c r="U7" s="175"/>
      <c r="V7" s="176"/>
      <c r="W7" s="166" t="s">
        <v>21</v>
      </c>
      <c r="X7" s="183" t="s">
        <v>22</v>
      </c>
      <c r="Y7" s="183" t="s">
        <v>23</v>
      </c>
      <c r="Z7" s="184" t="s">
        <v>24</v>
      </c>
      <c r="AA7" s="166" t="s">
        <v>25</v>
      </c>
      <c r="AB7" s="166" t="s">
        <v>26</v>
      </c>
      <c r="AC7" s="185" t="s">
        <v>27</v>
      </c>
      <c r="AD7" s="185"/>
      <c r="AE7" s="185"/>
      <c r="AF7" s="171" t="s">
        <v>28</v>
      </c>
      <c r="AG7" s="168" t="s">
        <v>29</v>
      </c>
      <c r="AH7" s="168" t="s">
        <v>30</v>
      </c>
      <c r="AI7" s="168" t="s">
        <v>31</v>
      </c>
      <c r="AJ7" s="168" t="s">
        <v>32</v>
      </c>
      <c r="AK7" s="171" t="s">
        <v>33</v>
      </c>
      <c r="AL7" s="171" t="s">
        <v>34</v>
      </c>
      <c r="AM7" s="166" t="s">
        <v>35</v>
      </c>
      <c r="AN7" s="166" t="s">
        <v>36</v>
      </c>
      <c r="AO7" s="166" t="s">
        <v>154</v>
      </c>
      <c r="AS7" s="168" t="s">
        <v>37</v>
      </c>
    </row>
    <row r="8" spans="1:45" ht="14.25" customHeight="1" x14ac:dyDescent="0.25">
      <c r="A8" s="167"/>
      <c r="B8" s="194"/>
      <c r="C8" s="195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73"/>
      <c r="O8" s="177"/>
      <c r="P8" s="178"/>
      <c r="Q8" s="178"/>
      <c r="R8" s="178"/>
      <c r="S8" s="178"/>
      <c r="T8" s="178"/>
      <c r="U8" s="178"/>
      <c r="V8" s="179"/>
      <c r="W8" s="167"/>
      <c r="X8" s="167"/>
      <c r="Y8" s="167"/>
      <c r="Z8" s="167"/>
      <c r="AA8" s="167"/>
      <c r="AB8" s="167"/>
      <c r="AC8" s="185"/>
      <c r="AD8" s="185"/>
      <c r="AE8" s="185"/>
      <c r="AF8" s="167"/>
      <c r="AG8" s="170"/>
      <c r="AH8" s="170"/>
      <c r="AI8" s="168"/>
      <c r="AJ8" s="170"/>
      <c r="AK8" s="167"/>
      <c r="AL8" s="171"/>
      <c r="AM8" s="167"/>
      <c r="AN8" s="166"/>
      <c r="AO8" s="166"/>
      <c r="AS8" s="169"/>
    </row>
    <row r="9" spans="1:45" ht="104.45" customHeight="1" x14ac:dyDescent="0.25">
      <c r="A9" s="167"/>
      <c r="B9" s="194"/>
      <c r="C9" s="195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73"/>
      <c r="O9" s="180"/>
      <c r="P9" s="181"/>
      <c r="Q9" s="181"/>
      <c r="R9" s="181"/>
      <c r="S9" s="181"/>
      <c r="T9" s="181"/>
      <c r="U9" s="181"/>
      <c r="V9" s="182"/>
      <c r="W9" s="167"/>
      <c r="X9" s="167"/>
      <c r="Y9" s="167"/>
      <c r="Z9" s="167"/>
      <c r="AA9" s="167"/>
      <c r="AB9" s="167"/>
      <c r="AC9" s="26" t="s">
        <v>38</v>
      </c>
      <c r="AD9" s="26" t="s">
        <v>39</v>
      </c>
      <c r="AE9" s="26" t="s">
        <v>40</v>
      </c>
      <c r="AF9" s="167"/>
      <c r="AG9" s="170"/>
      <c r="AH9" s="170"/>
      <c r="AI9" s="168"/>
      <c r="AJ9" s="170"/>
      <c r="AK9" s="167"/>
      <c r="AL9" s="171"/>
      <c r="AM9" s="167"/>
      <c r="AN9" s="166"/>
      <c r="AO9" s="166"/>
      <c r="AP9">
        <f>Z11/W11</f>
        <v>0.6571510184673206</v>
      </c>
      <c r="AR9">
        <v>27</v>
      </c>
      <c r="AS9" s="169"/>
    </row>
    <row r="10" spans="1:45" ht="39" customHeight="1" x14ac:dyDescent="0.25">
      <c r="A10" s="27">
        <v>1</v>
      </c>
      <c r="B10" s="27">
        <v>2</v>
      </c>
      <c r="C10" s="28">
        <v>3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>
        <v>4</v>
      </c>
      <c r="O10" s="27" t="s">
        <v>41</v>
      </c>
      <c r="P10" s="29" t="s">
        <v>42</v>
      </c>
      <c r="Q10" s="29" t="s">
        <v>43</v>
      </c>
      <c r="R10" s="29" t="s">
        <v>44</v>
      </c>
      <c r="S10" s="29" t="s">
        <v>45</v>
      </c>
      <c r="T10" s="29" t="s">
        <v>46</v>
      </c>
      <c r="U10" s="29" t="s">
        <v>47</v>
      </c>
      <c r="V10" s="29"/>
      <c r="W10" s="27">
        <v>5</v>
      </c>
      <c r="X10" s="30"/>
      <c r="Y10" s="157"/>
      <c r="Z10" s="30">
        <v>6</v>
      </c>
      <c r="AA10" s="27">
        <v>7</v>
      </c>
      <c r="AB10" s="27">
        <v>8</v>
      </c>
      <c r="AC10" s="31">
        <v>9</v>
      </c>
      <c r="AD10" s="31">
        <v>10</v>
      </c>
      <c r="AE10" s="31">
        <v>11</v>
      </c>
      <c r="AF10" s="32">
        <v>12</v>
      </c>
      <c r="AG10" s="27"/>
      <c r="AH10" s="27"/>
      <c r="AI10" s="27"/>
      <c r="AJ10" s="33"/>
      <c r="AK10" s="27"/>
      <c r="AL10" s="27"/>
      <c r="AM10" s="27"/>
      <c r="AN10" s="27"/>
      <c r="AR10">
        <v>1</v>
      </c>
      <c r="AS10" s="27">
        <v>13</v>
      </c>
    </row>
    <row r="11" spans="1:45" s="47" customFormat="1" ht="26.1" customHeight="1" x14ac:dyDescent="0.25">
      <c r="A11" s="34"/>
      <c r="B11" s="35" t="s">
        <v>48</v>
      </c>
      <c r="C11" s="36"/>
      <c r="D11" s="37">
        <f t="shared" ref="D11:L11" si="0">SUM(D12:D66)</f>
        <v>10200</v>
      </c>
      <c r="E11" s="37">
        <f t="shared" si="0"/>
        <v>54700</v>
      </c>
      <c r="F11" s="37">
        <f t="shared" si="0"/>
        <v>87820</v>
      </c>
      <c r="G11" s="37">
        <f t="shared" si="0"/>
        <v>12200</v>
      </c>
      <c r="H11" s="37">
        <f t="shared" si="0"/>
        <v>9873</v>
      </c>
      <c r="I11" s="37">
        <f t="shared" si="0"/>
        <v>5000</v>
      </c>
      <c r="J11" s="37">
        <f t="shared" si="0"/>
        <v>15418</v>
      </c>
      <c r="K11" s="37">
        <f t="shared" si="0"/>
        <v>1052076</v>
      </c>
      <c r="L11" s="38">
        <f t="shared" si="0"/>
        <v>70670</v>
      </c>
      <c r="M11" s="37">
        <f>SUBTOTAL(9,M12:M66)</f>
        <v>997557.30800000019</v>
      </c>
      <c r="N11" s="37">
        <f>SUBTOTAL(9,N12:N73)</f>
        <v>890720</v>
      </c>
      <c r="O11" s="37">
        <f t="shared" ref="O11:Y11" si="1">SUBTOTAL(9,O12:O73)</f>
        <v>1230191</v>
      </c>
      <c r="P11" s="37">
        <f t="shared" si="1"/>
        <v>800</v>
      </c>
      <c r="Q11" s="37">
        <f t="shared" si="1"/>
        <v>-4562</v>
      </c>
      <c r="R11" s="37">
        <f t="shared" si="1"/>
        <v>7629</v>
      </c>
      <c r="S11" s="37">
        <f>SUBTOTAL(9,S12:S73)</f>
        <v>0</v>
      </c>
      <c r="T11" s="37">
        <f>SUBTOTAL(9,T12:T73)</f>
        <v>0</v>
      </c>
      <c r="U11" s="37">
        <f t="shared" si="1"/>
        <v>-226711</v>
      </c>
      <c r="V11" s="37">
        <f t="shared" si="1"/>
        <v>0</v>
      </c>
      <c r="W11" s="37">
        <f>SUBTOTAL(9,W12:W73)</f>
        <v>1007347</v>
      </c>
      <c r="X11" s="37">
        <v>654048.10699999996</v>
      </c>
      <c r="Y11" s="158">
        <f t="shared" si="1"/>
        <v>7931</v>
      </c>
      <c r="Z11" s="37">
        <f>SUBTOTAL(9,Z12:Z73)</f>
        <v>661979.10699999996</v>
      </c>
      <c r="AA11" s="39">
        <f>Z11/W11</f>
        <v>0.6571510184673206</v>
      </c>
      <c r="AB11" s="39">
        <f>Z11/N11</f>
        <v>0.74319551261900485</v>
      </c>
      <c r="AC11" s="40">
        <f>SUM(AC12:AC73)</f>
        <v>57040</v>
      </c>
      <c r="AD11" s="40">
        <v>0</v>
      </c>
      <c r="AE11" s="40">
        <f>AC11-AD11</f>
        <v>57040</v>
      </c>
      <c r="AF11" s="37">
        <f>W11-Z11</f>
        <v>345367.89300000004</v>
      </c>
      <c r="AG11" s="37">
        <f>X11-AA11</f>
        <v>654047.44984898146</v>
      </c>
      <c r="AH11" s="37">
        <f>Y11-AB11</f>
        <v>7930.2568044873806</v>
      </c>
      <c r="AI11" s="37">
        <f>Z11-AC11</f>
        <v>604939.10699999996</v>
      </c>
      <c r="AJ11" s="41">
        <f>SUM(AJ12:AJ66)</f>
        <v>324760</v>
      </c>
      <c r="AK11" s="42">
        <f>W11-Z11-AJ11</f>
        <v>20607.89300000004</v>
      </c>
      <c r="AL11" s="43">
        <f>(Z11+AJ11)/W11</f>
        <v>0.97954240892165256</v>
      </c>
      <c r="AM11" s="39"/>
      <c r="AN11" s="40">
        <f>SUM(AN12:AN66)</f>
        <v>296862.70300000004</v>
      </c>
      <c r="AO11" s="44"/>
      <c r="AP11" s="45">
        <f>W11-Z11</f>
        <v>345367.89300000004</v>
      </c>
      <c r="AQ11" s="46">
        <f>Z11+AC11</f>
        <v>719019.10699999996</v>
      </c>
    </row>
    <row r="12" spans="1:45" ht="34.5" customHeight="1" x14ac:dyDescent="0.25">
      <c r="A12" s="48" t="s">
        <v>49</v>
      </c>
      <c r="B12" s="49" t="s">
        <v>50</v>
      </c>
      <c r="C12" s="50"/>
      <c r="D12" s="51"/>
      <c r="E12" s="51"/>
      <c r="F12" s="51"/>
      <c r="G12" s="51"/>
      <c r="H12" s="51"/>
      <c r="I12" s="51"/>
      <c r="J12" s="51"/>
      <c r="K12" s="51"/>
      <c r="L12" s="52"/>
      <c r="M12" s="53">
        <v>0</v>
      </c>
      <c r="N12" s="51"/>
      <c r="O12" s="54"/>
      <c r="P12" s="55"/>
      <c r="Q12" s="55"/>
      <c r="R12" s="55"/>
      <c r="S12" s="56"/>
      <c r="T12" s="55"/>
      <c r="U12" s="55"/>
      <c r="V12" s="55"/>
      <c r="W12" s="57">
        <f>S12+T12+U12+V12</f>
        <v>0</v>
      </c>
      <c r="X12" s="58">
        <v>0</v>
      </c>
      <c r="Y12" s="159"/>
      <c r="Z12" s="59">
        <f>SUM(X12:Y12)</f>
        <v>0</v>
      </c>
      <c r="AA12" s="60"/>
      <c r="AB12" s="61"/>
      <c r="AC12" s="61"/>
      <c r="AD12" s="62"/>
      <c r="AE12" s="61"/>
      <c r="AF12" s="52"/>
      <c r="AG12" s="63"/>
      <c r="AH12" s="63"/>
      <c r="AI12" s="64">
        <f t="shared" ref="AI12:AI66" si="2">AF12-AG12</f>
        <v>0</v>
      </c>
      <c r="AJ12" s="65"/>
      <c r="AK12" s="42">
        <f t="shared" ref="AK12:AK67" si="3">W12-Z12-AJ12</f>
        <v>0</v>
      </c>
      <c r="AL12" s="43"/>
      <c r="AM12" s="65"/>
      <c r="AN12" s="66"/>
      <c r="AO12" s="104"/>
      <c r="AP12" s="67">
        <f>Z11+AJ11</f>
        <v>986739.10699999996</v>
      </c>
    </row>
    <row r="13" spans="1:45" ht="41.45" customHeight="1" x14ac:dyDescent="0.25">
      <c r="A13" s="68">
        <v>1</v>
      </c>
      <c r="B13" s="69" t="s">
        <v>51</v>
      </c>
      <c r="C13" s="70" t="s">
        <v>52</v>
      </c>
      <c r="D13" s="71">
        <v>10000</v>
      </c>
      <c r="E13" s="71">
        <v>40000</v>
      </c>
      <c r="F13" s="71">
        <v>21000</v>
      </c>
      <c r="G13" s="71">
        <v>9000</v>
      </c>
      <c r="H13" s="71">
        <v>1810</v>
      </c>
      <c r="I13" s="71">
        <v>4000</v>
      </c>
      <c r="J13" s="71">
        <v>1774</v>
      </c>
      <c r="K13" s="71"/>
      <c r="L13" s="52">
        <v>70670</v>
      </c>
      <c r="M13" s="53">
        <v>0</v>
      </c>
      <c r="N13" s="71">
        <v>0</v>
      </c>
      <c r="O13" s="72">
        <v>60050</v>
      </c>
      <c r="P13" s="72"/>
      <c r="Q13" s="72"/>
      <c r="R13" s="72"/>
      <c r="S13" s="73"/>
      <c r="T13" s="72"/>
      <c r="U13" s="74">
        <v>-60050</v>
      </c>
      <c r="V13" s="75"/>
      <c r="W13" s="57">
        <f>SUM(O13:V13)</f>
        <v>0</v>
      </c>
      <c r="X13" s="76">
        <v>0</v>
      </c>
      <c r="Y13" s="160"/>
      <c r="Z13" s="59">
        <f t="shared" ref="Z13:Z66" si="4">SUM(X13:Y13)</f>
        <v>0</v>
      </c>
      <c r="AA13" s="77">
        <v>0</v>
      </c>
      <c r="AB13" s="78">
        <v>0</v>
      </c>
      <c r="AC13" s="79"/>
      <c r="AD13" s="62">
        <v>0</v>
      </c>
      <c r="AE13" s="79">
        <f>AC13-AD13</f>
        <v>0</v>
      </c>
      <c r="AF13" s="52">
        <f t="shared" ref="AF13:AF73" si="5">W13-Z13</f>
        <v>0</v>
      </c>
      <c r="AG13" s="80"/>
      <c r="AH13" s="80"/>
      <c r="AI13" s="64">
        <f t="shared" si="2"/>
        <v>0</v>
      </c>
      <c r="AJ13" s="81"/>
      <c r="AK13" s="42">
        <f t="shared" si="3"/>
        <v>0</v>
      </c>
      <c r="AL13" s="43" t="e">
        <f t="shared" ref="AL13:AL67" si="6">(Z13+AJ13)/W13</f>
        <v>#DIV/0!</v>
      </c>
      <c r="AM13" s="82"/>
      <c r="AN13" s="83">
        <f>W13-Z13</f>
        <v>0</v>
      </c>
      <c r="AO13" s="154" t="s">
        <v>147</v>
      </c>
      <c r="AP13" s="84">
        <f>Z11/W11</f>
        <v>0.6571510184673206</v>
      </c>
      <c r="AR13">
        <v>2</v>
      </c>
    </row>
    <row r="14" spans="1:45" ht="45" x14ac:dyDescent="0.25">
      <c r="A14" s="68">
        <v>2</v>
      </c>
      <c r="B14" s="69" t="s">
        <v>53</v>
      </c>
      <c r="C14" s="70" t="s">
        <v>54</v>
      </c>
      <c r="D14" s="71">
        <v>200</v>
      </c>
      <c r="E14" s="71">
        <v>1000</v>
      </c>
      <c r="F14" s="71">
        <v>60000</v>
      </c>
      <c r="G14" s="71">
        <v>3200</v>
      </c>
      <c r="H14" s="71">
        <v>4000</v>
      </c>
      <c r="I14" s="71">
        <v>1000</v>
      </c>
      <c r="J14" s="71"/>
      <c r="K14" s="71"/>
      <c r="L14" s="52"/>
      <c r="M14" s="53">
        <v>0</v>
      </c>
      <c r="N14" s="71">
        <v>0</v>
      </c>
      <c r="O14" s="72">
        <v>39020</v>
      </c>
      <c r="P14" s="72"/>
      <c r="Q14" s="72"/>
      <c r="R14" s="72"/>
      <c r="S14" s="73"/>
      <c r="T14" s="72"/>
      <c r="U14" s="74">
        <v>-39020</v>
      </c>
      <c r="V14" s="72"/>
      <c r="W14" s="57">
        <f>SUM(O14:V14)</f>
        <v>0</v>
      </c>
      <c r="X14" s="76">
        <v>0</v>
      </c>
      <c r="Y14" s="160"/>
      <c r="Z14" s="59">
        <f t="shared" si="4"/>
        <v>0</v>
      </c>
      <c r="AA14" s="77">
        <v>0</v>
      </c>
      <c r="AB14" s="78">
        <f>0%</f>
        <v>0</v>
      </c>
      <c r="AC14" s="79"/>
      <c r="AD14" s="62">
        <v>0</v>
      </c>
      <c r="AE14" s="79">
        <f t="shared" ref="AE14:AE73" si="7">AC14-AD14</f>
        <v>0</v>
      </c>
      <c r="AF14" s="52">
        <f t="shared" si="5"/>
        <v>0</v>
      </c>
      <c r="AG14" s="80"/>
      <c r="AH14" s="80"/>
      <c r="AI14" s="64">
        <f t="shared" si="2"/>
        <v>0</v>
      </c>
      <c r="AJ14" s="85"/>
      <c r="AK14" s="42">
        <f t="shared" si="3"/>
        <v>0</v>
      </c>
      <c r="AL14" s="86">
        <v>0</v>
      </c>
      <c r="AM14" s="85"/>
      <c r="AN14" s="83">
        <f>W14-Z14</f>
        <v>0</v>
      </c>
      <c r="AO14" s="154" t="s">
        <v>147</v>
      </c>
      <c r="AR14">
        <v>28</v>
      </c>
    </row>
    <row r="15" spans="1:45" ht="22.35" customHeight="1" x14ac:dyDescent="0.25">
      <c r="A15" s="87" t="s">
        <v>55</v>
      </c>
      <c r="B15" s="49" t="s">
        <v>56</v>
      </c>
      <c r="C15" s="88"/>
      <c r="D15" s="54"/>
      <c r="E15" s="54"/>
      <c r="F15" s="54"/>
      <c r="G15" s="54"/>
      <c r="H15" s="54"/>
      <c r="I15" s="54"/>
      <c r="J15" s="54"/>
      <c r="K15" s="54"/>
      <c r="L15" s="52"/>
      <c r="M15" s="53">
        <v>0</v>
      </c>
      <c r="N15" s="54"/>
      <c r="O15" s="54"/>
      <c r="P15" s="72"/>
      <c r="Q15" s="72"/>
      <c r="R15" s="72"/>
      <c r="S15" s="73"/>
      <c r="T15" s="72"/>
      <c r="U15" s="72"/>
      <c r="V15" s="72"/>
      <c r="W15" s="57">
        <f t="shared" ref="W15:W74" si="8">SUM(O15:V15)</f>
        <v>0</v>
      </c>
      <c r="X15" s="76">
        <v>0</v>
      </c>
      <c r="Y15" s="160"/>
      <c r="Z15" s="59">
        <f t="shared" si="4"/>
        <v>0</v>
      </c>
      <c r="AA15" s="77"/>
      <c r="AB15" s="78"/>
      <c r="AC15" s="79"/>
      <c r="AD15" s="62"/>
      <c r="AE15" s="79">
        <f t="shared" si="7"/>
        <v>0</v>
      </c>
      <c r="AF15" s="52">
        <f t="shared" si="5"/>
        <v>0</v>
      </c>
      <c r="AG15" s="80"/>
      <c r="AH15" s="80"/>
      <c r="AI15" s="64">
        <f t="shared" si="2"/>
        <v>0</v>
      </c>
      <c r="AJ15" s="85"/>
      <c r="AK15" s="42">
        <f t="shared" si="3"/>
        <v>0</v>
      </c>
      <c r="AL15" s="43"/>
      <c r="AM15" s="85"/>
      <c r="AN15" s="80"/>
      <c r="AO15" s="54"/>
      <c r="AR15">
        <v>1</v>
      </c>
    </row>
    <row r="16" spans="1:45" ht="52.5" customHeight="1" x14ac:dyDescent="0.25">
      <c r="A16" s="68">
        <v>3</v>
      </c>
      <c r="B16" s="69" t="s">
        <v>57</v>
      </c>
      <c r="C16" s="89" t="s">
        <v>58</v>
      </c>
      <c r="D16" s="71"/>
      <c r="E16" s="71"/>
      <c r="F16" s="71"/>
      <c r="G16" s="71"/>
      <c r="H16" s="71"/>
      <c r="I16" s="71"/>
      <c r="J16" s="71">
        <v>500</v>
      </c>
      <c r="K16" s="71">
        <v>1302</v>
      </c>
      <c r="L16" s="52"/>
      <c r="M16" s="53">
        <v>1301.9340000000002</v>
      </c>
      <c r="N16" s="71">
        <v>0</v>
      </c>
      <c r="O16" s="72">
        <v>1000</v>
      </c>
      <c r="P16" s="72"/>
      <c r="Q16" s="72"/>
      <c r="R16" s="72"/>
      <c r="S16" s="72">
        <v>-1000</v>
      </c>
      <c r="T16" s="72"/>
      <c r="U16" s="72"/>
      <c r="V16" s="72"/>
      <c r="W16" s="57">
        <f>SUM(O16:V16)</f>
        <v>0</v>
      </c>
      <c r="X16" s="76">
        <v>0</v>
      </c>
      <c r="Y16" s="160"/>
      <c r="Z16" s="59">
        <f t="shared" si="4"/>
        <v>0</v>
      </c>
      <c r="AA16" s="78">
        <f>0</f>
        <v>0</v>
      </c>
      <c r="AB16" s="78">
        <f>0%</f>
        <v>0</v>
      </c>
      <c r="AC16" s="79"/>
      <c r="AD16" s="62"/>
      <c r="AE16" s="79">
        <f t="shared" si="7"/>
        <v>0</v>
      </c>
      <c r="AF16" s="52">
        <f t="shared" si="5"/>
        <v>0</v>
      </c>
      <c r="AG16" s="80"/>
      <c r="AH16" s="80"/>
      <c r="AI16" s="64">
        <f t="shared" si="2"/>
        <v>0</v>
      </c>
      <c r="AJ16" s="85"/>
      <c r="AK16" s="42">
        <f t="shared" si="3"/>
        <v>0</v>
      </c>
      <c r="AL16" s="43" t="e">
        <f t="shared" si="6"/>
        <v>#DIV/0!</v>
      </c>
      <c r="AM16" s="85"/>
      <c r="AN16" s="80">
        <f t="shared" ref="AN16" si="9">W16-Z16</f>
        <v>0</v>
      </c>
      <c r="AO16" s="155" t="s">
        <v>148</v>
      </c>
    </row>
    <row r="17" spans="1:44" ht="22.5" customHeight="1" x14ac:dyDescent="0.25">
      <c r="A17" s="48" t="s">
        <v>59</v>
      </c>
      <c r="B17" s="49" t="s">
        <v>60</v>
      </c>
      <c r="C17" s="89"/>
      <c r="D17" s="71"/>
      <c r="E17" s="71"/>
      <c r="F17" s="71"/>
      <c r="G17" s="71"/>
      <c r="H17" s="71"/>
      <c r="I17" s="71"/>
      <c r="J17" s="71"/>
      <c r="K17" s="71"/>
      <c r="L17" s="52"/>
      <c r="M17" s="52"/>
      <c r="N17" s="71"/>
      <c r="O17" s="73"/>
      <c r="P17" s="72"/>
      <c r="Q17" s="72"/>
      <c r="R17" s="72"/>
      <c r="S17" s="73"/>
      <c r="T17" s="72"/>
      <c r="U17" s="72"/>
      <c r="V17" s="72"/>
      <c r="W17" s="57"/>
      <c r="X17" s="76"/>
      <c r="Y17" s="160"/>
      <c r="Z17" s="59"/>
      <c r="AA17" s="78"/>
      <c r="AB17" s="78"/>
      <c r="AC17" s="79"/>
      <c r="AD17" s="62"/>
      <c r="AE17" s="79">
        <f t="shared" si="7"/>
        <v>0</v>
      </c>
      <c r="AF17" s="52"/>
      <c r="AG17" s="80"/>
      <c r="AH17" s="80"/>
      <c r="AI17" s="64">
        <f t="shared" si="2"/>
        <v>0</v>
      </c>
      <c r="AJ17" s="85"/>
      <c r="AK17" s="42">
        <f t="shared" si="3"/>
        <v>0</v>
      </c>
      <c r="AL17" s="43"/>
      <c r="AM17" s="85"/>
      <c r="AN17" s="80"/>
      <c r="AO17" s="29"/>
    </row>
    <row r="18" spans="1:44" ht="36.6" customHeight="1" x14ac:dyDescent="0.25">
      <c r="A18" s="68">
        <v>4</v>
      </c>
      <c r="B18" s="69" t="s">
        <v>61</v>
      </c>
      <c r="C18" s="89" t="s">
        <v>62</v>
      </c>
      <c r="D18" s="71"/>
      <c r="E18" s="71"/>
      <c r="F18" s="71"/>
      <c r="G18" s="71"/>
      <c r="H18" s="71"/>
      <c r="I18" s="71"/>
      <c r="J18" s="71">
        <v>50</v>
      </c>
      <c r="K18" s="71">
        <v>800</v>
      </c>
      <c r="L18" s="52"/>
      <c r="M18" s="53">
        <v>794.4</v>
      </c>
      <c r="N18" s="90">
        <v>50</v>
      </c>
      <c r="O18" s="72">
        <v>20</v>
      </c>
      <c r="P18" s="72"/>
      <c r="Q18" s="72"/>
      <c r="R18" s="72"/>
      <c r="S18" s="72">
        <v>30</v>
      </c>
      <c r="T18" s="72"/>
      <c r="U18" s="74"/>
      <c r="V18" s="75"/>
      <c r="W18" s="57">
        <f t="shared" si="8"/>
        <v>50</v>
      </c>
      <c r="X18" s="76">
        <v>0</v>
      </c>
      <c r="Y18" s="160"/>
      <c r="Z18" s="59">
        <f t="shared" si="4"/>
        <v>0</v>
      </c>
      <c r="AA18" s="78">
        <f t="shared" ref="AA18:AA21" si="10">Z18/W18</f>
        <v>0</v>
      </c>
      <c r="AB18" s="78">
        <f t="shared" ref="AB18" si="11">Z18/N18</f>
        <v>0</v>
      </c>
      <c r="AC18" s="79"/>
      <c r="AD18" s="62"/>
      <c r="AE18" s="79">
        <f t="shared" si="7"/>
        <v>0</v>
      </c>
      <c r="AF18" s="52">
        <f t="shared" si="5"/>
        <v>50</v>
      </c>
      <c r="AG18" s="80"/>
      <c r="AH18" s="80"/>
      <c r="AI18" s="64">
        <f t="shared" si="2"/>
        <v>50</v>
      </c>
      <c r="AJ18" s="81"/>
      <c r="AK18" s="42">
        <f t="shared" si="3"/>
        <v>50</v>
      </c>
      <c r="AL18" s="43">
        <f t="shared" si="6"/>
        <v>0</v>
      </c>
      <c r="AM18" s="91"/>
      <c r="AN18" s="92">
        <f>W18-Z18</f>
        <v>50</v>
      </c>
      <c r="AO18" s="156" t="s">
        <v>149</v>
      </c>
    </row>
    <row r="19" spans="1:44" ht="53.25" customHeight="1" x14ac:dyDescent="0.25">
      <c r="A19" s="68">
        <v>5</v>
      </c>
      <c r="B19" s="69" t="s">
        <v>63</v>
      </c>
      <c r="C19" s="89" t="s">
        <v>64</v>
      </c>
      <c r="D19" s="71"/>
      <c r="E19" s="71"/>
      <c r="F19" s="71"/>
      <c r="G19" s="71"/>
      <c r="H19" s="71"/>
      <c r="I19" s="71"/>
      <c r="J19" s="71"/>
      <c r="K19" s="71">
        <v>970357</v>
      </c>
      <c r="L19" s="52"/>
      <c r="M19" s="53">
        <v>960094.85</v>
      </c>
      <c r="N19" s="90">
        <v>7000</v>
      </c>
      <c r="O19" s="72">
        <v>61243</v>
      </c>
      <c r="P19" s="72"/>
      <c r="Q19" s="72"/>
      <c r="R19" s="72"/>
      <c r="S19" s="72">
        <v>-4967</v>
      </c>
      <c r="T19" s="72"/>
      <c r="U19" s="72">
        <v>-40565</v>
      </c>
      <c r="V19" s="93"/>
      <c r="W19" s="57">
        <f t="shared" si="8"/>
        <v>15711</v>
      </c>
      <c r="X19" s="76">
        <v>2246.1019999999999</v>
      </c>
      <c r="Y19" s="160"/>
      <c r="Z19" s="59">
        <f t="shared" si="4"/>
        <v>2246.1019999999999</v>
      </c>
      <c r="AA19" s="78">
        <f t="shared" si="10"/>
        <v>0.1429636560371714</v>
      </c>
      <c r="AB19" s="78">
        <f>Z19/W19</f>
        <v>0.1429636560371714</v>
      </c>
      <c r="AC19" s="79">
        <v>1600</v>
      </c>
      <c r="AD19" s="62"/>
      <c r="AE19" s="79">
        <f t="shared" si="7"/>
        <v>1600</v>
      </c>
      <c r="AF19" s="52">
        <f t="shared" si="5"/>
        <v>13464.898000000001</v>
      </c>
      <c r="AG19" s="80"/>
      <c r="AH19" s="80"/>
      <c r="AI19" s="64">
        <f t="shared" si="2"/>
        <v>13464.898000000001</v>
      </c>
      <c r="AJ19" s="94" t="s">
        <v>65</v>
      </c>
      <c r="AK19" s="42">
        <f t="shared" si="3"/>
        <v>10464.898000000001</v>
      </c>
      <c r="AL19" s="43">
        <f t="shared" si="6"/>
        <v>0.33391267264973584</v>
      </c>
      <c r="AM19" s="95"/>
      <c r="AN19" s="92">
        <f t="shared" ref="AN19:AN21" si="12">W19-Z19</f>
        <v>13464.898000000001</v>
      </c>
      <c r="AO19" s="155" t="s">
        <v>148</v>
      </c>
    </row>
    <row r="20" spans="1:44" ht="36" customHeight="1" x14ac:dyDescent="0.25">
      <c r="A20" s="68">
        <v>6</v>
      </c>
      <c r="B20" s="69" t="s">
        <v>66</v>
      </c>
      <c r="C20" s="89">
        <v>8112228</v>
      </c>
      <c r="D20" s="71"/>
      <c r="E20" s="71"/>
      <c r="F20" s="71"/>
      <c r="G20" s="71"/>
      <c r="H20" s="71"/>
      <c r="I20" s="71"/>
      <c r="J20" s="71"/>
      <c r="K20" s="71">
        <v>250</v>
      </c>
      <c r="L20" s="52"/>
      <c r="M20" s="53">
        <v>250</v>
      </c>
      <c r="N20" s="90">
        <v>36800</v>
      </c>
      <c r="O20" s="72">
        <v>36800</v>
      </c>
      <c r="P20" s="72"/>
      <c r="Q20" s="72"/>
      <c r="R20" s="72"/>
      <c r="S20" s="73"/>
      <c r="T20" s="72"/>
      <c r="U20" s="74"/>
      <c r="V20" s="75"/>
      <c r="W20" s="57">
        <f t="shared" si="8"/>
        <v>36800</v>
      </c>
      <c r="X20" s="76">
        <v>26478.066999999999</v>
      </c>
      <c r="Y20" s="160"/>
      <c r="Z20" s="59">
        <f>SUM(X20:Y20)</f>
        <v>26478.066999999999</v>
      </c>
      <c r="AA20" s="78">
        <f t="shared" si="10"/>
        <v>0.71951269021739128</v>
      </c>
      <c r="AB20" s="78">
        <f t="shared" ref="AB20" si="13">Z20/N20</f>
        <v>0.71951269021739128</v>
      </c>
      <c r="AC20" s="79">
        <v>0</v>
      </c>
      <c r="AD20" s="62"/>
      <c r="AE20" s="79">
        <f t="shared" si="7"/>
        <v>0</v>
      </c>
      <c r="AF20" s="52">
        <f t="shared" si="5"/>
        <v>10321.933000000001</v>
      </c>
      <c r="AG20" s="80"/>
      <c r="AH20" s="80"/>
      <c r="AI20" s="64">
        <f t="shared" si="2"/>
        <v>10321.933000000001</v>
      </c>
      <c r="AJ20" s="96">
        <v>20000</v>
      </c>
      <c r="AK20" s="42">
        <f t="shared" si="3"/>
        <v>-9678.0669999999991</v>
      </c>
      <c r="AL20" s="43">
        <f t="shared" si="6"/>
        <v>1.2629909510869564</v>
      </c>
      <c r="AM20" s="83"/>
      <c r="AN20" s="92">
        <f t="shared" si="12"/>
        <v>10321.933000000001</v>
      </c>
      <c r="AO20" s="155" t="s">
        <v>148</v>
      </c>
      <c r="AQ20" s="97">
        <f>Z20-24656</f>
        <v>1822.0669999999991</v>
      </c>
    </row>
    <row r="21" spans="1:44" ht="32.450000000000003" customHeight="1" x14ac:dyDescent="0.25">
      <c r="A21" s="68">
        <v>7</v>
      </c>
      <c r="B21" s="69" t="s">
        <v>67</v>
      </c>
      <c r="C21" s="89" t="s">
        <v>68</v>
      </c>
      <c r="D21" s="71"/>
      <c r="E21" s="71"/>
      <c r="F21" s="71"/>
      <c r="G21" s="71"/>
      <c r="H21" s="71"/>
      <c r="I21" s="71"/>
      <c r="J21" s="71">
        <v>50</v>
      </c>
      <c r="K21" s="71">
        <v>2998</v>
      </c>
      <c r="L21" s="52"/>
      <c r="M21" s="53">
        <v>2248.2619999999997</v>
      </c>
      <c r="N21" s="90">
        <v>3288</v>
      </c>
      <c r="O21" s="72">
        <v>3288</v>
      </c>
      <c r="P21" s="72"/>
      <c r="Q21" s="72"/>
      <c r="R21" s="72"/>
      <c r="S21" s="73"/>
      <c r="T21" s="72"/>
      <c r="U21" s="74"/>
      <c r="V21" s="75"/>
      <c r="W21" s="57">
        <f t="shared" si="8"/>
        <v>3288</v>
      </c>
      <c r="X21" s="76">
        <v>2292.66</v>
      </c>
      <c r="Y21" s="160"/>
      <c r="Z21" s="59">
        <f t="shared" si="4"/>
        <v>2292.66</v>
      </c>
      <c r="AA21" s="78">
        <f t="shared" si="10"/>
        <v>0.69728102189781016</v>
      </c>
      <c r="AB21" s="78">
        <f>Z21/N21</f>
        <v>0.69728102189781016</v>
      </c>
      <c r="AC21" s="79">
        <v>863</v>
      </c>
      <c r="AD21" s="62"/>
      <c r="AE21" s="79">
        <f t="shared" si="7"/>
        <v>863</v>
      </c>
      <c r="AF21" s="52">
        <f t="shared" si="5"/>
        <v>995.34000000000015</v>
      </c>
      <c r="AG21" s="80"/>
      <c r="AH21" s="80"/>
      <c r="AI21" s="64">
        <f t="shared" si="2"/>
        <v>995.34000000000015</v>
      </c>
      <c r="AJ21" s="98">
        <v>450</v>
      </c>
      <c r="AK21" s="42">
        <f t="shared" si="3"/>
        <v>545.34000000000015</v>
      </c>
      <c r="AL21" s="43">
        <f t="shared" si="6"/>
        <v>0.83414233576642327</v>
      </c>
      <c r="AM21" s="83"/>
      <c r="AN21" s="92">
        <f t="shared" si="12"/>
        <v>995.34000000000015</v>
      </c>
      <c r="AO21" s="156" t="s">
        <v>149</v>
      </c>
      <c r="AP21" s="97">
        <f>Z21-38334</f>
        <v>-36041.339999999997</v>
      </c>
      <c r="AR21">
        <v>4</v>
      </c>
    </row>
    <row r="22" spans="1:44" ht="64.5" customHeight="1" x14ac:dyDescent="0.25">
      <c r="A22" s="68">
        <v>8</v>
      </c>
      <c r="B22" s="69" t="s">
        <v>69</v>
      </c>
      <c r="C22" s="89" t="s">
        <v>70</v>
      </c>
      <c r="D22" s="71"/>
      <c r="E22" s="71"/>
      <c r="F22" s="71"/>
      <c r="G22" s="71"/>
      <c r="H22" s="71"/>
      <c r="I22" s="71"/>
      <c r="J22" s="71"/>
      <c r="K22" s="71"/>
      <c r="L22" s="52"/>
      <c r="M22" s="53"/>
      <c r="N22" s="99">
        <v>6</v>
      </c>
      <c r="O22" s="72"/>
      <c r="P22" s="72"/>
      <c r="Q22" s="72"/>
      <c r="R22" s="72">
        <v>6</v>
      </c>
      <c r="S22" s="72">
        <v>6</v>
      </c>
      <c r="T22" s="72"/>
      <c r="U22" s="74">
        <v>-6</v>
      </c>
      <c r="V22" s="75"/>
      <c r="W22" s="57">
        <f t="shared" si="8"/>
        <v>6</v>
      </c>
      <c r="X22" s="76">
        <v>0</v>
      </c>
      <c r="Y22" s="160"/>
      <c r="Z22" s="59">
        <f t="shared" si="4"/>
        <v>0</v>
      </c>
      <c r="AA22" s="78"/>
      <c r="AB22" s="78"/>
      <c r="AC22" s="100">
        <v>6</v>
      </c>
      <c r="AD22" s="62"/>
      <c r="AE22" s="79">
        <f t="shared" si="7"/>
        <v>6</v>
      </c>
      <c r="AF22" s="52">
        <f t="shared" si="5"/>
        <v>6</v>
      </c>
      <c r="AG22" s="80"/>
      <c r="AH22" s="80"/>
      <c r="AI22" s="64"/>
      <c r="AJ22" s="98"/>
      <c r="AK22" s="42"/>
      <c r="AL22" s="43"/>
      <c r="AM22" s="83"/>
      <c r="AN22" s="92"/>
      <c r="AO22" s="106" t="s">
        <v>150</v>
      </c>
      <c r="AP22" s="97"/>
    </row>
    <row r="23" spans="1:44" ht="51.75" customHeight="1" x14ac:dyDescent="0.25">
      <c r="A23" s="68">
        <v>9</v>
      </c>
      <c r="B23" s="69" t="s">
        <v>71</v>
      </c>
      <c r="C23" s="89" t="s">
        <v>72</v>
      </c>
      <c r="D23" s="71"/>
      <c r="E23" s="71"/>
      <c r="F23" s="71"/>
      <c r="G23" s="71"/>
      <c r="H23" s="71"/>
      <c r="I23" s="71"/>
      <c r="J23" s="71"/>
      <c r="K23" s="71"/>
      <c r="L23" s="52"/>
      <c r="M23" s="53"/>
      <c r="N23" s="99">
        <v>23</v>
      </c>
      <c r="O23" s="72"/>
      <c r="P23" s="72"/>
      <c r="Q23" s="72"/>
      <c r="R23" s="72">
        <v>23</v>
      </c>
      <c r="S23" s="72">
        <v>23</v>
      </c>
      <c r="T23" s="72"/>
      <c r="U23" s="74">
        <v>-23</v>
      </c>
      <c r="V23" s="75"/>
      <c r="W23" s="57">
        <f t="shared" si="8"/>
        <v>23</v>
      </c>
      <c r="X23" s="76">
        <v>0</v>
      </c>
      <c r="Y23" s="160"/>
      <c r="Z23" s="59">
        <f t="shared" si="4"/>
        <v>0</v>
      </c>
      <c r="AA23" s="78"/>
      <c r="AB23" s="78"/>
      <c r="AC23" s="100">
        <v>23</v>
      </c>
      <c r="AD23" s="62"/>
      <c r="AE23" s="79">
        <f t="shared" si="7"/>
        <v>23</v>
      </c>
      <c r="AF23" s="52">
        <f t="shared" si="5"/>
        <v>23</v>
      </c>
      <c r="AG23" s="80"/>
      <c r="AH23" s="80"/>
      <c r="AI23" s="64"/>
      <c r="AJ23" s="98"/>
      <c r="AK23" s="42"/>
      <c r="AL23" s="43"/>
      <c r="AM23" s="83"/>
      <c r="AN23" s="92"/>
      <c r="AO23" s="106" t="s">
        <v>150</v>
      </c>
      <c r="AP23" s="97"/>
    </row>
    <row r="24" spans="1:44" ht="39" customHeight="1" x14ac:dyDescent="0.25">
      <c r="A24" s="68">
        <v>10</v>
      </c>
      <c r="B24" s="69" t="s">
        <v>73</v>
      </c>
      <c r="C24" s="89" t="s">
        <v>74</v>
      </c>
      <c r="D24" s="71"/>
      <c r="E24" s="71"/>
      <c r="F24" s="71"/>
      <c r="G24" s="71"/>
      <c r="H24" s="71"/>
      <c r="I24" s="71"/>
      <c r="J24" s="71"/>
      <c r="K24" s="71"/>
      <c r="L24" s="52"/>
      <c r="M24" s="53"/>
      <c r="N24" s="99">
        <v>4</v>
      </c>
      <c r="O24" s="72"/>
      <c r="P24" s="72"/>
      <c r="Q24" s="72"/>
      <c r="R24" s="72"/>
      <c r="S24" s="72">
        <v>4</v>
      </c>
      <c r="T24" s="72"/>
      <c r="U24" s="74"/>
      <c r="V24" s="75"/>
      <c r="W24" s="57">
        <f t="shared" si="8"/>
        <v>4</v>
      </c>
      <c r="X24" s="76">
        <v>0</v>
      </c>
      <c r="Y24" s="160"/>
      <c r="Z24" s="59">
        <f t="shared" si="4"/>
        <v>0</v>
      </c>
      <c r="AA24" s="78"/>
      <c r="AB24" s="78"/>
      <c r="AC24" s="100">
        <v>4</v>
      </c>
      <c r="AD24" s="62"/>
      <c r="AE24" s="79">
        <f t="shared" si="7"/>
        <v>4</v>
      </c>
      <c r="AF24" s="52">
        <f t="shared" si="5"/>
        <v>4</v>
      </c>
      <c r="AG24" s="80"/>
      <c r="AH24" s="80"/>
      <c r="AI24" s="64"/>
      <c r="AJ24" s="98"/>
      <c r="AK24" s="42"/>
      <c r="AL24" s="43"/>
      <c r="AM24" s="83"/>
      <c r="AN24" s="92"/>
      <c r="AO24" s="106" t="s">
        <v>151</v>
      </c>
      <c r="AP24" s="97"/>
    </row>
    <row r="25" spans="1:44" ht="51.75" customHeight="1" x14ac:dyDescent="0.25">
      <c r="A25" s="68">
        <v>11</v>
      </c>
      <c r="B25" s="69" t="s">
        <v>75</v>
      </c>
      <c r="C25" s="89" t="s">
        <v>76</v>
      </c>
      <c r="D25" s="71"/>
      <c r="E25" s="71"/>
      <c r="F25" s="71"/>
      <c r="G25" s="71"/>
      <c r="H25" s="71"/>
      <c r="I25" s="71"/>
      <c r="J25" s="71"/>
      <c r="K25" s="71"/>
      <c r="L25" s="52"/>
      <c r="M25" s="53"/>
      <c r="N25" s="99">
        <v>6</v>
      </c>
      <c r="O25" s="72"/>
      <c r="P25" s="72"/>
      <c r="Q25" s="72"/>
      <c r="R25" s="72"/>
      <c r="S25" s="72">
        <v>6</v>
      </c>
      <c r="T25" s="72"/>
      <c r="U25" s="74"/>
      <c r="V25" s="75"/>
      <c r="W25" s="57">
        <f t="shared" si="8"/>
        <v>6</v>
      </c>
      <c r="X25" s="76">
        <v>5.04</v>
      </c>
      <c r="Y25" s="160"/>
      <c r="Z25" s="59">
        <f t="shared" si="4"/>
        <v>5.04</v>
      </c>
      <c r="AA25" s="78"/>
      <c r="AB25" s="78"/>
      <c r="AC25" s="100"/>
      <c r="AD25" s="62"/>
      <c r="AE25" s="79">
        <f t="shared" si="7"/>
        <v>0</v>
      </c>
      <c r="AF25" s="52">
        <f t="shared" si="5"/>
        <v>0.96</v>
      </c>
      <c r="AG25" s="80"/>
      <c r="AH25" s="80"/>
      <c r="AI25" s="64"/>
      <c r="AJ25" s="98"/>
      <c r="AK25" s="42"/>
      <c r="AL25" s="43"/>
      <c r="AM25" s="83"/>
      <c r="AN25" s="92"/>
      <c r="AO25" s="156" t="s">
        <v>149</v>
      </c>
      <c r="AP25" s="97"/>
    </row>
    <row r="26" spans="1:44" ht="35.25" customHeight="1" x14ac:dyDescent="0.25">
      <c r="A26" s="68">
        <v>12</v>
      </c>
      <c r="B26" s="69" t="s">
        <v>77</v>
      </c>
      <c r="C26" s="89" t="s">
        <v>78</v>
      </c>
      <c r="D26" s="71"/>
      <c r="E26" s="71"/>
      <c r="F26" s="71"/>
      <c r="G26" s="71"/>
      <c r="H26" s="71"/>
      <c r="I26" s="71"/>
      <c r="J26" s="71"/>
      <c r="K26" s="71"/>
      <c r="L26" s="52"/>
      <c r="M26" s="53"/>
      <c r="N26" s="99">
        <v>6</v>
      </c>
      <c r="O26" s="72"/>
      <c r="P26" s="72"/>
      <c r="Q26" s="72"/>
      <c r="R26" s="72"/>
      <c r="S26" s="72">
        <v>6</v>
      </c>
      <c r="T26" s="72"/>
      <c r="U26" s="74"/>
      <c r="V26" s="75"/>
      <c r="W26" s="57">
        <f t="shared" si="8"/>
        <v>6</v>
      </c>
      <c r="X26" s="76">
        <v>0</v>
      </c>
      <c r="Y26" s="160"/>
      <c r="Z26" s="59">
        <f t="shared" si="4"/>
        <v>0</v>
      </c>
      <c r="AA26" s="78"/>
      <c r="AB26" s="78"/>
      <c r="AC26" s="100">
        <v>6</v>
      </c>
      <c r="AD26" s="62"/>
      <c r="AE26" s="79">
        <f t="shared" si="7"/>
        <v>6</v>
      </c>
      <c r="AF26" s="52">
        <f t="shared" si="5"/>
        <v>6</v>
      </c>
      <c r="AG26" s="80"/>
      <c r="AH26" s="80"/>
      <c r="AI26" s="64"/>
      <c r="AJ26" s="98"/>
      <c r="AK26" s="42"/>
      <c r="AL26" s="43"/>
      <c r="AM26" s="83"/>
      <c r="AN26" s="92"/>
      <c r="AO26" s="106" t="s">
        <v>151</v>
      </c>
      <c r="AP26" s="97"/>
    </row>
    <row r="27" spans="1:44" ht="30" x14ac:dyDescent="0.25">
      <c r="A27" s="68">
        <v>13</v>
      </c>
      <c r="B27" s="69" t="s">
        <v>79</v>
      </c>
      <c r="C27" s="89" t="s">
        <v>80</v>
      </c>
      <c r="D27" s="71"/>
      <c r="E27" s="71"/>
      <c r="F27" s="71"/>
      <c r="G27" s="71"/>
      <c r="H27" s="71"/>
      <c r="I27" s="71"/>
      <c r="J27" s="71"/>
      <c r="K27" s="71"/>
      <c r="L27" s="52"/>
      <c r="M27" s="53"/>
      <c r="N27" s="99">
        <v>4</v>
      </c>
      <c r="O27" s="72"/>
      <c r="P27" s="72"/>
      <c r="Q27" s="72"/>
      <c r="R27" s="72"/>
      <c r="S27" s="72">
        <v>4</v>
      </c>
      <c r="T27" s="72"/>
      <c r="U27" s="74"/>
      <c r="V27" s="75"/>
      <c r="W27" s="57">
        <f t="shared" si="8"/>
        <v>4</v>
      </c>
      <c r="X27" s="76">
        <v>3.47</v>
      </c>
      <c r="Y27" s="160"/>
      <c r="Z27" s="59">
        <f t="shared" si="4"/>
        <v>3.47</v>
      </c>
      <c r="AA27" s="78"/>
      <c r="AB27" s="78"/>
      <c r="AC27" s="100">
        <v>1</v>
      </c>
      <c r="AD27" s="62"/>
      <c r="AE27" s="79">
        <f t="shared" si="7"/>
        <v>1</v>
      </c>
      <c r="AF27" s="52">
        <f t="shared" si="5"/>
        <v>0.5299999999999998</v>
      </c>
      <c r="AG27" s="80"/>
      <c r="AH27" s="80"/>
      <c r="AI27" s="64"/>
      <c r="AJ27" s="98"/>
      <c r="AK27" s="42"/>
      <c r="AL27" s="43"/>
      <c r="AM27" s="83"/>
      <c r="AN27" s="92"/>
      <c r="AO27" s="156" t="s">
        <v>149</v>
      </c>
      <c r="AP27" s="97"/>
    </row>
    <row r="28" spans="1:44" ht="39.75" customHeight="1" x14ac:dyDescent="0.25">
      <c r="A28" s="68">
        <v>14</v>
      </c>
      <c r="B28" s="101" t="s">
        <v>81</v>
      </c>
      <c r="C28" s="89" t="s">
        <v>82</v>
      </c>
      <c r="D28" s="71"/>
      <c r="E28" s="71"/>
      <c r="F28" s="71"/>
      <c r="G28" s="71"/>
      <c r="H28" s="71"/>
      <c r="I28" s="71"/>
      <c r="J28" s="71"/>
      <c r="K28" s="71"/>
      <c r="L28" s="52"/>
      <c r="M28" s="53"/>
      <c r="N28" s="102">
        <v>43</v>
      </c>
      <c r="O28" s="72"/>
      <c r="P28" s="72"/>
      <c r="Q28" s="72"/>
      <c r="R28" s="72"/>
      <c r="S28" s="72">
        <v>43</v>
      </c>
      <c r="T28" s="72"/>
      <c r="U28" s="74"/>
      <c r="V28" s="75"/>
      <c r="W28" s="57">
        <f t="shared" si="8"/>
        <v>43</v>
      </c>
      <c r="X28" s="76">
        <v>6.7</v>
      </c>
      <c r="Y28" s="160"/>
      <c r="Z28" s="59">
        <f t="shared" si="4"/>
        <v>6.7</v>
      </c>
      <c r="AA28" s="78"/>
      <c r="AB28" s="78"/>
      <c r="AC28" s="100">
        <v>36</v>
      </c>
      <c r="AD28" s="62"/>
      <c r="AE28" s="79">
        <f t="shared" si="7"/>
        <v>36</v>
      </c>
      <c r="AF28" s="52">
        <f t="shared" si="5"/>
        <v>36.299999999999997</v>
      </c>
      <c r="AG28" s="80"/>
      <c r="AH28" s="80"/>
      <c r="AI28" s="64"/>
      <c r="AJ28" s="98"/>
      <c r="AK28" s="42"/>
      <c r="AL28" s="43"/>
      <c r="AM28" s="83"/>
      <c r="AN28" s="92"/>
      <c r="AO28" s="154" t="s">
        <v>147</v>
      </c>
      <c r="AP28" s="97"/>
    </row>
    <row r="29" spans="1:44" ht="39" customHeight="1" x14ac:dyDescent="0.25">
      <c r="A29" s="68">
        <v>15</v>
      </c>
      <c r="B29" s="101" t="s">
        <v>83</v>
      </c>
      <c r="C29" s="89" t="s">
        <v>84</v>
      </c>
      <c r="D29" s="71"/>
      <c r="E29" s="71"/>
      <c r="F29" s="71"/>
      <c r="G29" s="71"/>
      <c r="H29" s="71"/>
      <c r="I29" s="71"/>
      <c r="J29" s="71"/>
      <c r="K29" s="71"/>
      <c r="L29" s="52"/>
      <c r="M29" s="53"/>
      <c r="N29" s="99">
        <v>45</v>
      </c>
      <c r="O29" s="72"/>
      <c r="P29" s="72"/>
      <c r="Q29" s="72"/>
      <c r="R29" s="72"/>
      <c r="S29" s="72">
        <v>45</v>
      </c>
      <c r="T29" s="72"/>
      <c r="U29" s="74"/>
      <c r="V29" s="75"/>
      <c r="W29" s="57">
        <f t="shared" si="8"/>
        <v>45</v>
      </c>
      <c r="X29" s="76">
        <v>0</v>
      </c>
      <c r="Y29" s="160"/>
      <c r="Z29" s="59">
        <f t="shared" si="4"/>
        <v>0</v>
      </c>
      <c r="AA29" s="78"/>
      <c r="AB29" s="78"/>
      <c r="AC29" s="100">
        <v>45</v>
      </c>
      <c r="AD29" s="62"/>
      <c r="AE29" s="79">
        <f t="shared" si="7"/>
        <v>45</v>
      </c>
      <c r="AF29" s="52">
        <f t="shared" si="5"/>
        <v>45</v>
      </c>
      <c r="AG29" s="80"/>
      <c r="AH29" s="80"/>
      <c r="AI29" s="64"/>
      <c r="AJ29" s="98"/>
      <c r="AK29" s="42"/>
      <c r="AL29" s="43"/>
      <c r="AM29" s="83"/>
      <c r="AN29" s="92"/>
      <c r="AO29" s="156" t="s">
        <v>149</v>
      </c>
      <c r="AP29" s="97"/>
    </row>
    <row r="30" spans="1:44" ht="53.25" customHeight="1" x14ac:dyDescent="0.25">
      <c r="A30" s="68">
        <v>16</v>
      </c>
      <c r="B30" s="101" t="s">
        <v>85</v>
      </c>
      <c r="C30" s="89" t="s">
        <v>86</v>
      </c>
      <c r="D30" s="71"/>
      <c r="E30" s="71"/>
      <c r="F30" s="71"/>
      <c r="G30" s="71"/>
      <c r="H30" s="71"/>
      <c r="I30" s="71"/>
      <c r="J30" s="71"/>
      <c r="K30" s="71"/>
      <c r="L30" s="52"/>
      <c r="M30" s="53"/>
      <c r="N30" s="99">
        <v>74</v>
      </c>
      <c r="O30" s="72"/>
      <c r="P30" s="72"/>
      <c r="Q30" s="72"/>
      <c r="R30" s="72"/>
      <c r="S30" s="72">
        <v>74</v>
      </c>
      <c r="T30" s="72"/>
      <c r="U30" s="74"/>
      <c r="V30" s="75"/>
      <c r="W30" s="57">
        <f t="shared" si="8"/>
        <v>74</v>
      </c>
      <c r="X30" s="76">
        <v>37.1</v>
      </c>
      <c r="Y30" s="160"/>
      <c r="Z30" s="59">
        <f t="shared" si="4"/>
        <v>37.1</v>
      </c>
      <c r="AA30" s="78"/>
      <c r="AB30" s="78"/>
      <c r="AC30" s="100">
        <v>37</v>
      </c>
      <c r="AD30" s="62"/>
      <c r="AE30" s="79">
        <f t="shared" si="7"/>
        <v>37</v>
      </c>
      <c r="AF30" s="52">
        <f t="shared" si="5"/>
        <v>36.9</v>
      </c>
      <c r="AG30" s="80"/>
      <c r="AH30" s="80"/>
      <c r="AI30" s="64"/>
      <c r="AJ30" s="98"/>
      <c r="AK30" s="42"/>
      <c r="AL30" s="43"/>
      <c r="AM30" s="83"/>
      <c r="AN30" s="92"/>
      <c r="AO30" s="156" t="s">
        <v>149</v>
      </c>
      <c r="AP30" s="97"/>
    </row>
    <row r="31" spans="1:44" ht="38.25" customHeight="1" x14ac:dyDescent="0.25">
      <c r="A31" s="68">
        <v>17</v>
      </c>
      <c r="B31" s="101" t="s">
        <v>87</v>
      </c>
      <c r="C31" s="89" t="s">
        <v>88</v>
      </c>
      <c r="D31" s="71"/>
      <c r="E31" s="71"/>
      <c r="F31" s="71"/>
      <c r="G31" s="71"/>
      <c r="H31" s="71"/>
      <c r="I31" s="71"/>
      <c r="J31" s="71"/>
      <c r="K31" s="71"/>
      <c r="L31" s="52"/>
      <c r="M31" s="53"/>
      <c r="N31" s="99">
        <v>4</v>
      </c>
      <c r="O31" s="72"/>
      <c r="P31" s="72"/>
      <c r="Q31" s="72"/>
      <c r="R31" s="72"/>
      <c r="S31" s="72">
        <v>4</v>
      </c>
      <c r="T31" s="72"/>
      <c r="U31" s="74"/>
      <c r="V31" s="75"/>
      <c r="W31" s="57">
        <f t="shared" si="8"/>
        <v>4</v>
      </c>
      <c r="X31" s="76">
        <v>0</v>
      </c>
      <c r="Y31" s="160"/>
      <c r="Z31" s="59">
        <f t="shared" si="4"/>
        <v>0</v>
      </c>
      <c r="AA31" s="78"/>
      <c r="AB31" s="78"/>
      <c r="AC31" s="100">
        <v>4</v>
      </c>
      <c r="AD31" s="62"/>
      <c r="AE31" s="79">
        <f t="shared" si="7"/>
        <v>4</v>
      </c>
      <c r="AF31" s="52">
        <f t="shared" si="5"/>
        <v>4</v>
      </c>
      <c r="AG31" s="80"/>
      <c r="AH31" s="80"/>
      <c r="AI31" s="64"/>
      <c r="AJ31" s="98"/>
      <c r="AK31" s="42"/>
      <c r="AL31" s="43"/>
      <c r="AM31" s="83"/>
      <c r="AN31" s="92"/>
      <c r="AO31" s="106" t="s">
        <v>150</v>
      </c>
      <c r="AP31" s="97"/>
    </row>
    <row r="32" spans="1:44" ht="38.25" customHeight="1" x14ac:dyDescent="0.25">
      <c r="A32" s="68">
        <v>18</v>
      </c>
      <c r="B32" s="101" t="s">
        <v>89</v>
      </c>
      <c r="C32" s="89" t="s">
        <v>90</v>
      </c>
      <c r="D32" s="71"/>
      <c r="E32" s="71"/>
      <c r="F32" s="71"/>
      <c r="G32" s="71"/>
      <c r="H32" s="71"/>
      <c r="I32" s="71"/>
      <c r="J32" s="71"/>
      <c r="K32" s="71"/>
      <c r="L32" s="52"/>
      <c r="M32" s="53"/>
      <c r="N32" s="99">
        <v>9</v>
      </c>
      <c r="O32" s="72"/>
      <c r="P32" s="72"/>
      <c r="Q32" s="72"/>
      <c r="R32" s="72"/>
      <c r="S32" s="72">
        <v>9</v>
      </c>
      <c r="T32" s="72"/>
      <c r="U32" s="74"/>
      <c r="V32" s="75"/>
      <c r="W32" s="57">
        <f t="shared" si="8"/>
        <v>9</v>
      </c>
      <c r="X32" s="76">
        <v>0</v>
      </c>
      <c r="Y32" s="160"/>
      <c r="Z32" s="59">
        <f t="shared" si="4"/>
        <v>0</v>
      </c>
      <c r="AA32" s="78"/>
      <c r="AB32" s="78"/>
      <c r="AC32" s="100">
        <v>9</v>
      </c>
      <c r="AD32" s="62"/>
      <c r="AE32" s="79">
        <f t="shared" si="7"/>
        <v>9</v>
      </c>
      <c r="AF32" s="52">
        <f t="shared" si="5"/>
        <v>9</v>
      </c>
      <c r="AG32" s="80"/>
      <c r="AH32" s="80"/>
      <c r="AI32" s="64"/>
      <c r="AJ32" s="98"/>
      <c r="AK32" s="42"/>
      <c r="AL32" s="43"/>
      <c r="AM32" s="83"/>
      <c r="AN32" s="92"/>
      <c r="AO32" s="106" t="s">
        <v>151</v>
      </c>
      <c r="AP32" s="97"/>
    </row>
    <row r="33" spans="1:44" ht="51.75" customHeight="1" x14ac:dyDescent="0.25">
      <c r="A33" s="68">
        <v>19</v>
      </c>
      <c r="B33" s="101" t="s">
        <v>91</v>
      </c>
      <c r="C33" s="89" t="s">
        <v>92</v>
      </c>
      <c r="D33" s="71"/>
      <c r="E33" s="71"/>
      <c r="F33" s="71"/>
      <c r="G33" s="71"/>
      <c r="H33" s="71"/>
      <c r="I33" s="71"/>
      <c r="J33" s="71"/>
      <c r="K33" s="71"/>
      <c r="L33" s="52"/>
      <c r="M33" s="53"/>
      <c r="N33" s="99">
        <v>10</v>
      </c>
      <c r="O33" s="72"/>
      <c r="P33" s="72"/>
      <c r="Q33" s="72"/>
      <c r="R33" s="72"/>
      <c r="S33" s="72">
        <v>10</v>
      </c>
      <c r="T33" s="72"/>
      <c r="U33" s="74"/>
      <c r="V33" s="75"/>
      <c r="W33" s="57">
        <f t="shared" si="8"/>
        <v>10</v>
      </c>
      <c r="X33" s="76">
        <v>8.5</v>
      </c>
      <c r="Y33" s="160"/>
      <c r="Z33" s="59">
        <f t="shared" si="4"/>
        <v>8.5</v>
      </c>
      <c r="AA33" s="78"/>
      <c r="AB33" s="78"/>
      <c r="AC33" s="100">
        <v>2</v>
      </c>
      <c r="AD33" s="62"/>
      <c r="AE33" s="79">
        <f t="shared" si="7"/>
        <v>2</v>
      </c>
      <c r="AF33" s="52">
        <f t="shared" si="5"/>
        <v>1.5</v>
      </c>
      <c r="AG33" s="80"/>
      <c r="AH33" s="80"/>
      <c r="AI33" s="64"/>
      <c r="AJ33" s="98"/>
      <c r="AK33" s="42"/>
      <c r="AL33" s="43"/>
      <c r="AM33" s="83"/>
      <c r="AN33" s="92"/>
      <c r="AO33" s="156" t="s">
        <v>149</v>
      </c>
      <c r="AP33" s="97"/>
    </row>
    <row r="34" spans="1:44" ht="24" customHeight="1" x14ac:dyDescent="0.25">
      <c r="A34" s="48" t="s">
        <v>93</v>
      </c>
      <c r="B34" s="49" t="s">
        <v>94</v>
      </c>
      <c r="C34" s="103"/>
      <c r="D34" s="104"/>
      <c r="E34" s="104"/>
      <c r="F34" s="104"/>
      <c r="G34" s="104"/>
      <c r="H34" s="104"/>
      <c r="I34" s="104"/>
      <c r="J34" s="104"/>
      <c r="K34" s="104"/>
      <c r="L34" s="52"/>
      <c r="M34" s="53"/>
      <c r="N34" s="104"/>
      <c r="O34" s="54"/>
      <c r="P34" s="72"/>
      <c r="Q34" s="72"/>
      <c r="R34" s="72"/>
      <c r="S34" s="73"/>
      <c r="T34" s="72"/>
      <c r="U34" s="72"/>
      <c r="V34" s="72"/>
      <c r="W34" s="57"/>
      <c r="X34" s="76"/>
      <c r="Y34" s="160"/>
      <c r="Z34" s="59"/>
      <c r="AA34" s="78"/>
      <c r="AB34" s="78"/>
      <c r="AC34" s="100"/>
      <c r="AD34" s="62"/>
      <c r="AE34" s="79">
        <f t="shared" si="7"/>
        <v>0</v>
      </c>
      <c r="AF34" s="52">
        <f t="shared" si="5"/>
        <v>0</v>
      </c>
      <c r="AG34" s="80"/>
      <c r="AH34" s="80"/>
      <c r="AI34" s="64">
        <f t="shared" si="2"/>
        <v>0</v>
      </c>
      <c r="AJ34" s="85"/>
      <c r="AK34" s="42">
        <f t="shared" si="3"/>
        <v>0</v>
      </c>
      <c r="AL34" s="43"/>
      <c r="AM34" s="85"/>
      <c r="AN34" s="80"/>
      <c r="AO34" s="87"/>
    </row>
    <row r="35" spans="1:44" ht="36" customHeight="1" x14ac:dyDescent="0.25">
      <c r="A35" s="68">
        <v>20</v>
      </c>
      <c r="B35" s="69" t="s">
        <v>95</v>
      </c>
      <c r="C35" s="89" t="s">
        <v>96</v>
      </c>
      <c r="D35" s="71"/>
      <c r="E35" s="71"/>
      <c r="F35" s="71"/>
      <c r="G35" s="71"/>
      <c r="H35" s="71"/>
      <c r="I35" s="71"/>
      <c r="J35" s="71">
        <v>50</v>
      </c>
      <c r="K35" s="71">
        <v>200</v>
      </c>
      <c r="L35" s="52"/>
      <c r="M35" s="53">
        <f>200</f>
        <v>200</v>
      </c>
      <c r="N35" s="90">
        <v>6515</v>
      </c>
      <c r="O35" s="72">
        <v>8285</v>
      </c>
      <c r="P35" s="72"/>
      <c r="Q35" s="72"/>
      <c r="R35" s="72"/>
      <c r="S35" s="72">
        <v>-1632</v>
      </c>
      <c r="T35" s="72"/>
      <c r="U35" s="74">
        <v>-138</v>
      </c>
      <c r="V35" s="74"/>
      <c r="W35" s="57">
        <f t="shared" si="8"/>
        <v>6515</v>
      </c>
      <c r="X35" s="76">
        <v>6002.44</v>
      </c>
      <c r="Y35" s="160"/>
      <c r="Z35" s="59">
        <f>SUM(X35:Y35)</f>
        <v>6002.44</v>
      </c>
      <c r="AA35" s="78">
        <f>Z35/W35</f>
        <v>0.92132617037605524</v>
      </c>
      <c r="AB35" s="78">
        <f>Z35/N35</f>
        <v>0.92132617037605524</v>
      </c>
      <c r="AC35" s="100"/>
      <c r="AD35" s="62"/>
      <c r="AE35" s="79">
        <f t="shared" si="7"/>
        <v>0</v>
      </c>
      <c r="AF35" s="52">
        <f t="shared" si="5"/>
        <v>512.5600000000004</v>
      </c>
      <c r="AG35" s="80"/>
      <c r="AH35" s="80"/>
      <c r="AI35" s="64">
        <f t="shared" si="2"/>
        <v>512.5600000000004</v>
      </c>
      <c r="AJ35" s="81">
        <v>110</v>
      </c>
      <c r="AK35" s="42">
        <f t="shared" si="3"/>
        <v>402.5600000000004</v>
      </c>
      <c r="AL35" s="43">
        <f t="shared" si="6"/>
        <v>0.93821028396009198</v>
      </c>
      <c r="AM35" s="80"/>
      <c r="AN35" s="80">
        <f>W35-Z35</f>
        <v>512.5600000000004</v>
      </c>
      <c r="AO35" s="155" t="s">
        <v>148</v>
      </c>
    </row>
    <row r="36" spans="1:44" ht="39.6" customHeight="1" x14ac:dyDescent="0.25">
      <c r="A36" s="68">
        <v>21</v>
      </c>
      <c r="B36" s="69" t="s">
        <v>97</v>
      </c>
      <c r="C36" s="89">
        <v>8112965</v>
      </c>
      <c r="D36" s="71"/>
      <c r="E36" s="71"/>
      <c r="F36" s="71"/>
      <c r="G36" s="71"/>
      <c r="H36" s="71"/>
      <c r="I36" s="71"/>
      <c r="J36" s="71"/>
      <c r="K36" s="71">
        <v>200</v>
      </c>
      <c r="L36" s="52"/>
      <c r="M36" s="53">
        <v>170</v>
      </c>
      <c r="N36" s="90">
        <v>1208</v>
      </c>
      <c r="O36" s="72">
        <v>1208</v>
      </c>
      <c r="P36" s="72"/>
      <c r="Q36" s="72"/>
      <c r="R36" s="72"/>
      <c r="S36" s="73"/>
      <c r="T36" s="72"/>
      <c r="U36" s="74"/>
      <c r="V36" s="75"/>
      <c r="W36" s="57">
        <f t="shared" si="8"/>
        <v>1208</v>
      </c>
      <c r="X36" s="76">
        <v>936.10699999999997</v>
      </c>
      <c r="Y36" s="160"/>
      <c r="Z36" s="59">
        <f t="shared" si="4"/>
        <v>936.10699999999997</v>
      </c>
      <c r="AA36" s="78">
        <f t="shared" ref="AA36:AA60" si="14">Z36/W36</f>
        <v>0.7749230132450331</v>
      </c>
      <c r="AB36" s="78">
        <f t="shared" ref="AB36:AB60" si="15">Z36/N36</f>
        <v>0.7749230132450331</v>
      </c>
      <c r="AC36" s="100"/>
      <c r="AD36" s="62"/>
      <c r="AE36" s="79">
        <f t="shared" si="7"/>
        <v>0</v>
      </c>
      <c r="AF36" s="52">
        <f t="shared" si="5"/>
        <v>271.89300000000003</v>
      </c>
      <c r="AG36" s="80"/>
      <c r="AH36" s="80"/>
      <c r="AI36" s="64">
        <f t="shared" si="2"/>
        <v>271.89300000000003</v>
      </c>
      <c r="AJ36" s="81"/>
      <c r="AK36" s="42">
        <f t="shared" si="3"/>
        <v>271.89300000000003</v>
      </c>
      <c r="AL36" s="43">
        <f t="shared" si="6"/>
        <v>0.7749230132450331</v>
      </c>
      <c r="AM36" s="85"/>
      <c r="AN36" s="80">
        <f t="shared" ref="AN36:AN61" si="16">W36-Z36</f>
        <v>271.89300000000003</v>
      </c>
      <c r="AO36" s="154" t="s">
        <v>147</v>
      </c>
      <c r="AQ36" s="67">
        <f>X36-261</f>
        <v>675.10699999999997</v>
      </c>
    </row>
    <row r="37" spans="1:44" ht="36.6" customHeight="1" x14ac:dyDescent="0.25">
      <c r="A37" s="68">
        <v>22</v>
      </c>
      <c r="B37" s="69" t="s">
        <v>98</v>
      </c>
      <c r="C37" s="89">
        <v>8100887</v>
      </c>
      <c r="D37" s="71"/>
      <c r="E37" s="71"/>
      <c r="F37" s="71"/>
      <c r="G37" s="71"/>
      <c r="H37" s="71"/>
      <c r="I37" s="71"/>
      <c r="J37" s="71"/>
      <c r="K37" s="71">
        <v>5221</v>
      </c>
      <c r="L37" s="52"/>
      <c r="M37" s="53">
        <v>1558.6</v>
      </c>
      <c r="N37" s="90">
        <v>12500</v>
      </c>
      <c r="O37" s="72">
        <v>5000</v>
      </c>
      <c r="P37" s="72"/>
      <c r="Q37" s="72"/>
      <c r="R37" s="72"/>
      <c r="S37" s="72">
        <v>11500</v>
      </c>
      <c r="T37" s="72"/>
      <c r="U37" s="74">
        <v>-2000</v>
      </c>
      <c r="V37" s="75"/>
      <c r="W37" s="57">
        <f t="shared" si="8"/>
        <v>14500</v>
      </c>
      <c r="X37" s="76">
        <v>9615.2000000000007</v>
      </c>
      <c r="Y37" s="160"/>
      <c r="Z37" s="59">
        <f t="shared" si="4"/>
        <v>9615.2000000000007</v>
      </c>
      <c r="AA37" s="60">
        <f>Z37/W37</f>
        <v>0.66311724137931038</v>
      </c>
      <c r="AB37" s="60">
        <f t="shared" si="15"/>
        <v>0.76921600000000001</v>
      </c>
      <c r="AC37" s="100">
        <v>3500</v>
      </c>
      <c r="AD37" s="62"/>
      <c r="AE37" s="79">
        <f t="shared" si="7"/>
        <v>3500</v>
      </c>
      <c r="AF37" s="52">
        <f t="shared" si="5"/>
        <v>4884.7999999999993</v>
      </c>
      <c r="AG37" s="80"/>
      <c r="AH37" s="80"/>
      <c r="AI37" s="64">
        <f t="shared" si="2"/>
        <v>4884.7999999999993</v>
      </c>
      <c r="AJ37" s="81">
        <v>1000</v>
      </c>
      <c r="AK37" s="42">
        <f t="shared" si="3"/>
        <v>3884.7999999999993</v>
      </c>
      <c r="AL37" s="43">
        <f t="shared" si="6"/>
        <v>0.73208275862068972</v>
      </c>
      <c r="AM37" s="85"/>
      <c r="AN37" s="80">
        <f t="shared" si="16"/>
        <v>4884.7999999999993</v>
      </c>
      <c r="AO37" s="156" t="s">
        <v>149</v>
      </c>
      <c r="AP37" s="105"/>
      <c r="AQ37" s="67"/>
    </row>
    <row r="38" spans="1:44" ht="51" customHeight="1" x14ac:dyDescent="0.25">
      <c r="A38" s="68">
        <v>23</v>
      </c>
      <c r="B38" s="69" t="s">
        <v>99</v>
      </c>
      <c r="C38" s="89">
        <v>8101114</v>
      </c>
      <c r="D38" s="71"/>
      <c r="E38" s="71"/>
      <c r="F38" s="71"/>
      <c r="G38" s="71"/>
      <c r="H38" s="71"/>
      <c r="I38" s="71"/>
      <c r="J38" s="71"/>
      <c r="K38" s="71">
        <v>1000</v>
      </c>
      <c r="L38" s="52"/>
      <c r="M38" s="53">
        <v>983.19999999999993</v>
      </c>
      <c r="N38" s="90">
        <v>44117</v>
      </c>
      <c r="O38" s="72">
        <v>44117</v>
      </c>
      <c r="P38" s="72"/>
      <c r="Q38" s="72"/>
      <c r="R38" s="72"/>
      <c r="S38" s="73"/>
      <c r="T38" s="72"/>
      <c r="U38" s="74"/>
      <c r="V38" s="75"/>
      <c r="W38" s="57">
        <f t="shared" si="8"/>
        <v>44117</v>
      </c>
      <c r="X38" s="76">
        <v>20539.23</v>
      </c>
      <c r="Y38" s="160">
        <v>7931</v>
      </c>
      <c r="Z38" s="59">
        <f t="shared" si="4"/>
        <v>28470.23</v>
      </c>
      <c r="AA38" s="78">
        <f t="shared" si="14"/>
        <v>0.64533467824194757</v>
      </c>
      <c r="AB38" s="78">
        <f t="shared" si="15"/>
        <v>0.64533467824194757</v>
      </c>
      <c r="AC38" s="100">
        <f>7900</f>
        <v>7900</v>
      </c>
      <c r="AD38" s="62"/>
      <c r="AE38" s="79">
        <f t="shared" si="7"/>
        <v>7900</v>
      </c>
      <c r="AF38" s="52">
        <f t="shared" si="5"/>
        <v>15646.77</v>
      </c>
      <c r="AG38" s="80"/>
      <c r="AH38" s="80"/>
      <c r="AI38" s="64">
        <f t="shared" si="2"/>
        <v>15646.77</v>
      </c>
      <c r="AJ38" s="81">
        <v>5000</v>
      </c>
      <c r="AK38" s="42">
        <f t="shared" si="3"/>
        <v>10646.77</v>
      </c>
      <c r="AL38" s="43">
        <f t="shared" si="6"/>
        <v>0.75866967382188266</v>
      </c>
      <c r="AM38" s="106"/>
      <c r="AN38" s="80">
        <f t="shared" si="16"/>
        <v>15646.77</v>
      </c>
      <c r="AO38" s="154" t="s">
        <v>147</v>
      </c>
      <c r="AQ38" s="67"/>
    </row>
    <row r="39" spans="1:44" ht="41.45" customHeight="1" x14ac:dyDescent="0.25">
      <c r="A39" s="68">
        <v>24</v>
      </c>
      <c r="B39" s="69" t="s">
        <v>100</v>
      </c>
      <c r="C39" s="89">
        <v>8100889</v>
      </c>
      <c r="D39" s="71"/>
      <c r="E39" s="71"/>
      <c r="F39" s="71"/>
      <c r="G39" s="71"/>
      <c r="H39" s="71"/>
      <c r="I39" s="71"/>
      <c r="J39" s="71"/>
      <c r="K39" s="71">
        <v>1100</v>
      </c>
      <c r="L39" s="52"/>
      <c r="M39" s="53">
        <v>1097.5700000000002</v>
      </c>
      <c r="N39" s="90">
        <v>48719</v>
      </c>
      <c r="O39" s="72">
        <v>50419</v>
      </c>
      <c r="P39" s="72"/>
      <c r="Q39" s="72"/>
      <c r="R39" s="72"/>
      <c r="S39" s="73"/>
      <c r="T39" s="72"/>
      <c r="U39" s="72"/>
      <c r="V39" s="93"/>
      <c r="W39" s="57">
        <f t="shared" si="8"/>
        <v>50419</v>
      </c>
      <c r="X39" s="76">
        <v>22155.989999999998</v>
      </c>
      <c r="Y39" s="160"/>
      <c r="Z39" s="59">
        <f>SUM(X39:Y39)</f>
        <v>22155.989999999998</v>
      </c>
      <c r="AA39" s="78">
        <f t="shared" si="14"/>
        <v>0.43943731529780433</v>
      </c>
      <c r="AB39" s="78">
        <f t="shared" si="15"/>
        <v>0.45477103388821605</v>
      </c>
      <c r="AC39" s="100">
        <v>10000</v>
      </c>
      <c r="AD39" s="62"/>
      <c r="AE39" s="79">
        <f t="shared" si="7"/>
        <v>10000</v>
      </c>
      <c r="AF39" s="52">
        <f t="shared" si="5"/>
        <v>28263.010000000002</v>
      </c>
      <c r="AG39" s="80"/>
      <c r="AH39" s="80"/>
      <c r="AI39" s="64">
        <f t="shared" si="2"/>
        <v>28263.010000000002</v>
      </c>
      <c r="AJ39" s="81">
        <v>3200</v>
      </c>
      <c r="AK39" s="42">
        <f t="shared" si="3"/>
        <v>25063.010000000002</v>
      </c>
      <c r="AL39" s="43">
        <f t="shared" si="6"/>
        <v>0.50290545230964512</v>
      </c>
      <c r="AM39" s="85"/>
      <c r="AN39" s="80">
        <f t="shared" si="16"/>
        <v>28263.010000000002</v>
      </c>
      <c r="AO39" s="106" t="s">
        <v>151</v>
      </c>
    </row>
    <row r="40" spans="1:44" ht="46.35" customHeight="1" x14ac:dyDescent="0.25">
      <c r="A40" s="68">
        <v>25</v>
      </c>
      <c r="B40" s="69" t="s">
        <v>101</v>
      </c>
      <c r="C40" s="89">
        <v>8111370</v>
      </c>
      <c r="D40" s="71"/>
      <c r="E40" s="71"/>
      <c r="F40" s="71"/>
      <c r="G40" s="71"/>
      <c r="H40" s="71"/>
      <c r="I40" s="71"/>
      <c r="J40" s="71"/>
      <c r="K40" s="71">
        <v>1100</v>
      </c>
      <c r="L40" s="52"/>
      <c r="M40" s="53">
        <v>931.3</v>
      </c>
      <c r="N40" s="90">
        <v>60438</v>
      </c>
      <c r="O40" s="72">
        <v>70000</v>
      </c>
      <c r="P40" s="72"/>
      <c r="Q40" s="72">
        <v>-4562</v>
      </c>
      <c r="R40" s="72"/>
      <c r="S40" s="72">
        <v>-5000</v>
      </c>
      <c r="T40" s="72"/>
      <c r="U40" s="72"/>
      <c r="V40" s="93"/>
      <c r="W40" s="57">
        <f t="shared" si="8"/>
        <v>60438</v>
      </c>
      <c r="X40" s="76">
        <v>36775</v>
      </c>
      <c r="Y40" s="160"/>
      <c r="Z40" s="59">
        <f t="shared" si="4"/>
        <v>36775</v>
      </c>
      <c r="AA40" s="78">
        <f t="shared" si="14"/>
        <v>0.60847480062212511</v>
      </c>
      <c r="AB40" s="78">
        <f t="shared" si="15"/>
        <v>0.60847480062212511</v>
      </c>
      <c r="AC40" s="100">
        <v>10000</v>
      </c>
      <c r="AD40" s="62"/>
      <c r="AE40" s="79">
        <f t="shared" si="7"/>
        <v>10000</v>
      </c>
      <c r="AF40" s="52">
        <f t="shared" si="5"/>
        <v>23663</v>
      </c>
      <c r="AG40" s="80"/>
      <c r="AH40" s="80"/>
      <c r="AI40" s="64">
        <f t="shared" si="2"/>
        <v>23663</v>
      </c>
      <c r="AJ40" s="81">
        <v>15000</v>
      </c>
      <c r="AK40" s="42">
        <f t="shared" si="3"/>
        <v>8663</v>
      </c>
      <c r="AL40" s="43">
        <f t="shared" si="6"/>
        <v>0.856663026572686</v>
      </c>
      <c r="AM40" s="80"/>
      <c r="AN40" s="80">
        <f t="shared" si="16"/>
        <v>23663</v>
      </c>
      <c r="AO40" s="156" t="s">
        <v>149</v>
      </c>
    </row>
    <row r="41" spans="1:44" ht="40.35" customHeight="1" x14ac:dyDescent="0.25">
      <c r="A41" s="68">
        <v>26</v>
      </c>
      <c r="B41" s="69" t="s">
        <v>102</v>
      </c>
      <c r="C41" s="89">
        <v>8111981</v>
      </c>
      <c r="D41" s="71"/>
      <c r="E41" s="71"/>
      <c r="F41" s="71"/>
      <c r="G41" s="71"/>
      <c r="H41" s="71"/>
      <c r="I41" s="71"/>
      <c r="J41" s="71"/>
      <c r="K41" s="71">
        <v>300</v>
      </c>
      <c r="L41" s="52"/>
      <c r="M41" s="53">
        <v>272</v>
      </c>
      <c r="N41" s="90">
        <v>420</v>
      </c>
      <c r="O41" s="72">
        <v>20</v>
      </c>
      <c r="P41" s="72"/>
      <c r="Q41" s="72"/>
      <c r="R41" s="72"/>
      <c r="S41" s="72">
        <v>400</v>
      </c>
      <c r="T41" s="72"/>
      <c r="U41" s="72"/>
      <c r="V41" s="93"/>
      <c r="W41" s="57">
        <f t="shared" si="8"/>
        <v>420</v>
      </c>
      <c r="X41" s="76">
        <v>0</v>
      </c>
      <c r="Y41" s="160"/>
      <c r="Z41" s="59">
        <f t="shared" si="4"/>
        <v>0</v>
      </c>
      <c r="AA41" s="78">
        <f t="shared" si="14"/>
        <v>0</v>
      </c>
      <c r="AB41" s="78">
        <f t="shared" si="15"/>
        <v>0</v>
      </c>
      <c r="AC41" s="100"/>
      <c r="AD41" s="62"/>
      <c r="AE41" s="79">
        <f t="shared" si="7"/>
        <v>0</v>
      </c>
      <c r="AF41" s="52">
        <f t="shared" si="5"/>
        <v>420</v>
      </c>
      <c r="AG41" s="80"/>
      <c r="AH41" s="80"/>
      <c r="AI41" s="64">
        <f t="shared" si="2"/>
        <v>420</v>
      </c>
      <c r="AJ41" s="81"/>
      <c r="AK41" s="42">
        <f t="shared" si="3"/>
        <v>420</v>
      </c>
      <c r="AL41" s="43">
        <f t="shared" si="6"/>
        <v>0</v>
      </c>
      <c r="AM41" s="107"/>
      <c r="AN41" s="80">
        <f t="shared" si="16"/>
        <v>420</v>
      </c>
      <c r="AO41" s="156" t="s">
        <v>149</v>
      </c>
      <c r="AP41" s="97">
        <f>AP40-Z40</f>
        <v>-36775</v>
      </c>
    </row>
    <row r="42" spans="1:44" ht="36.6" customHeight="1" x14ac:dyDescent="0.25">
      <c r="A42" s="68">
        <v>27</v>
      </c>
      <c r="B42" s="69" t="s">
        <v>103</v>
      </c>
      <c r="C42" s="89">
        <v>8112964</v>
      </c>
      <c r="D42" s="71"/>
      <c r="E42" s="71"/>
      <c r="F42" s="71"/>
      <c r="G42" s="71"/>
      <c r="H42" s="71"/>
      <c r="I42" s="71"/>
      <c r="J42" s="71"/>
      <c r="K42" s="71">
        <v>340</v>
      </c>
      <c r="L42" s="52"/>
      <c r="M42" s="53">
        <v>339.3</v>
      </c>
      <c r="N42" s="90">
        <v>125</v>
      </c>
      <c r="O42" s="72">
        <v>125</v>
      </c>
      <c r="P42" s="72"/>
      <c r="Q42" s="72"/>
      <c r="R42" s="72"/>
      <c r="S42" s="73"/>
      <c r="T42" s="72"/>
      <c r="U42" s="72"/>
      <c r="V42" s="93"/>
      <c r="W42" s="57">
        <f t="shared" si="8"/>
        <v>125</v>
      </c>
      <c r="X42" s="76">
        <v>0</v>
      </c>
      <c r="Y42" s="160"/>
      <c r="Z42" s="59">
        <f t="shared" si="4"/>
        <v>0</v>
      </c>
      <c r="AA42" s="78">
        <f t="shared" si="14"/>
        <v>0</v>
      </c>
      <c r="AB42" s="78">
        <f t="shared" si="15"/>
        <v>0</v>
      </c>
      <c r="AC42" s="100"/>
      <c r="AD42" s="62"/>
      <c r="AE42" s="79">
        <f t="shared" si="7"/>
        <v>0</v>
      </c>
      <c r="AF42" s="52">
        <f t="shared" si="5"/>
        <v>125</v>
      </c>
      <c r="AG42" s="80"/>
      <c r="AH42" s="80"/>
      <c r="AI42" s="64">
        <f t="shared" si="2"/>
        <v>125</v>
      </c>
      <c r="AJ42" s="81"/>
      <c r="AK42" s="42">
        <f t="shared" si="3"/>
        <v>125</v>
      </c>
      <c r="AL42" s="43">
        <f t="shared" si="6"/>
        <v>0</v>
      </c>
      <c r="AM42" s="80"/>
      <c r="AN42" s="80">
        <f t="shared" si="16"/>
        <v>125</v>
      </c>
      <c r="AO42" s="106" t="s">
        <v>151</v>
      </c>
      <c r="AP42" s="97">
        <f>Z42-13579</f>
        <v>-13579</v>
      </c>
      <c r="AQ42">
        <f>13104</f>
        <v>13104</v>
      </c>
    </row>
    <row r="43" spans="1:44" ht="40.35" customHeight="1" x14ac:dyDescent="0.25">
      <c r="A43" s="68">
        <v>28</v>
      </c>
      <c r="B43" s="69" t="s">
        <v>104</v>
      </c>
      <c r="C43" s="89">
        <v>8112963</v>
      </c>
      <c r="D43" s="71"/>
      <c r="E43" s="71"/>
      <c r="F43" s="71"/>
      <c r="G43" s="71"/>
      <c r="H43" s="71"/>
      <c r="I43" s="71"/>
      <c r="J43" s="71"/>
      <c r="K43" s="71">
        <v>210</v>
      </c>
      <c r="L43" s="52"/>
      <c r="M43" s="53">
        <v>209.78</v>
      </c>
      <c r="N43" s="71">
        <v>0</v>
      </c>
      <c r="O43" s="72">
        <v>7575</v>
      </c>
      <c r="P43" s="72"/>
      <c r="Q43" s="72"/>
      <c r="R43" s="72"/>
      <c r="S43" s="73"/>
      <c r="T43" s="72"/>
      <c r="U43" s="74">
        <v>-7575</v>
      </c>
      <c r="V43" s="74"/>
      <c r="W43" s="57">
        <f t="shared" si="8"/>
        <v>0</v>
      </c>
      <c r="X43" s="76">
        <v>0</v>
      </c>
      <c r="Y43" s="160"/>
      <c r="Z43" s="59">
        <f t="shared" si="4"/>
        <v>0</v>
      </c>
      <c r="AA43" s="108">
        <v>0</v>
      </c>
      <c r="AB43" s="78">
        <v>0</v>
      </c>
      <c r="AC43" s="100"/>
      <c r="AD43" s="62"/>
      <c r="AE43" s="79">
        <f t="shared" si="7"/>
        <v>0</v>
      </c>
      <c r="AF43" s="52">
        <f t="shared" si="5"/>
        <v>0</v>
      </c>
      <c r="AG43" s="80"/>
      <c r="AH43" s="80"/>
      <c r="AI43" s="64">
        <f t="shared" si="2"/>
        <v>0</v>
      </c>
      <c r="AJ43" s="81"/>
      <c r="AK43" s="42">
        <f t="shared" si="3"/>
        <v>0</v>
      </c>
      <c r="AL43" s="86" t="e">
        <f t="shared" si="6"/>
        <v>#DIV/0!</v>
      </c>
      <c r="AM43" s="80"/>
      <c r="AN43" s="80">
        <f t="shared" si="16"/>
        <v>0</v>
      </c>
      <c r="AO43" s="155" t="s">
        <v>148</v>
      </c>
      <c r="AQ43" s="97">
        <f>AQ42-Z42</f>
        <v>13104</v>
      </c>
    </row>
    <row r="44" spans="1:44" ht="37.5" customHeight="1" x14ac:dyDescent="0.25">
      <c r="A44" s="68">
        <v>29</v>
      </c>
      <c r="B44" s="69" t="s">
        <v>105</v>
      </c>
      <c r="C44" s="89" t="s">
        <v>106</v>
      </c>
      <c r="D44" s="71"/>
      <c r="E44" s="71"/>
      <c r="F44" s="71"/>
      <c r="G44" s="71"/>
      <c r="H44" s="71"/>
      <c r="I44" s="71"/>
      <c r="J44" s="71">
        <v>50</v>
      </c>
      <c r="K44" s="71">
        <v>954</v>
      </c>
      <c r="L44" s="52"/>
      <c r="M44" s="53">
        <v>898.03700000000003</v>
      </c>
      <c r="N44" s="90">
        <v>34000</v>
      </c>
      <c r="O44" s="72">
        <v>34000</v>
      </c>
      <c r="P44" s="72"/>
      <c r="Q44" s="72"/>
      <c r="R44" s="72"/>
      <c r="S44" s="73"/>
      <c r="T44" s="72"/>
      <c r="U44" s="72"/>
      <c r="V44" s="72"/>
      <c r="W44" s="57">
        <f t="shared" si="8"/>
        <v>34000</v>
      </c>
      <c r="X44" s="76">
        <v>0</v>
      </c>
      <c r="Y44" s="160"/>
      <c r="Z44" s="59">
        <f t="shared" si="4"/>
        <v>0</v>
      </c>
      <c r="AA44" s="78">
        <f t="shared" si="14"/>
        <v>0</v>
      </c>
      <c r="AB44" s="78">
        <f t="shared" si="15"/>
        <v>0</v>
      </c>
      <c r="AC44" s="100"/>
      <c r="AD44" s="62"/>
      <c r="AE44" s="79">
        <f t="shared" si="7"/>
        <v>0</v>
      </c>
      <c r="AF44" s="52">
        <f t="shared" si="5"/>
        <v>34000</v>
      </c>
      <c r="AG44" s="80"/>
      <c r="AH44" s="80"/>
      <c r="AI44" s="64">
        <f t="shared" si="2"/>
        <v>34000</v>
      </c>
      <c r="AJ44" s="81"/>
      <c r="AK44" s="42">
        <f t="shared" si="3"/>
        <v>34000</v>
      </c>
      <c r="AL44" s="43">
        <f t="shared" si="6"/>
        <v>0</v>
      </c>
      <c r="AM44" s="85"/>
      <c r="AN44" s="80">
        <f t="shared" si="16"/>
        <v>34000</v>
      </c>
      <c r="AO44" s="154" t="s">
        <v>147</v>
      </c>
      <c r="AP44">
        <v>24869</v>
      </c>
    </row>
    <row r="45" spans="1:44" ht="39" customHeight="1" x14ac:dyDescent="0.25">
      <c r="A45" s="68">
        <v>30</v>
      </c>
      <c r="B45" s="69" t="s">
        <v>107</v>
      </c>
      <c r="C45" s="89">
        <v>8111982</v>
      </c>
      <c r="D45" s="71"/>
      <c r="E45" s="71"/>
      <c r="F45" s="71"/>
      <c r="G45" s="71"/>
      <c r="H45" s="71"/>
      <c r="I45" s="71"/>
      <c r="J45" s="71"/>
      <c r="K45" s="71">
        <v>300</v>
      </c>
      <c r="L45" s="52"/>
      <c r="M45" s="53">
        <v>264.39999999999998</v>
      </c>
      <c r="N45" s="90">
        <v>191</v>
      </c>
      <c r="O45" s="72">
        <v>21</v>
      </c>
      <c r="P45" s="72"/>
      <c r="Q45" s="72"/>
      <c r="R45" s="72"/>
      <c r="S45" s="72">
        <v>170</v>
      </c>
      <c r="T45" s="72"/>
      <c r="U45" s="72"/>
      <c r="V45" s="72"/>
      <c r="W45" s="57">
        <f t="shared" si="8"/>
        <v>191</v>
      </c>
      <c r="X45" s="76">
        <v>0</v>
      </c>
      <c r="Y45" s="160"/>
      <c r="Z45" s="59">
        <f t="shared" si="4"/>
        <v>0</v>
      </c>
      <c r="AA45" s="78">
        <f t="shared" si="14"/>
        <v>0</v>
      </c>
      <c r="AB45" s="78">
        <f t="shared" si="15"/>
        <v>0</v>
      </c>
      <c r="AC45" s="100"/>
      <c r="AD45" s="62"/>
      <c r="AE45" s="79">
        <f t="shared" si="7"/>
        <v>0</v>
      </c>
      <c r="AF45" s="52">
        <f t="shared" si="5"/>
        <v>191</v>
      </c>
      <c r="AG45" s="80"/>
      <c r="AH45" s="80"/>
      <c r="AI45" s="64">
        <f t="shared" si="2"/>
        <v>191</v>
      </c>
      <c r="AJ45" s="81"/>
      <c r="AK45" s="42">
        <f t="shared" si="3"/>
        <v>191</v>
      </c>
      <c r="AL45" s="43">
        <f t="shared" si="6"/>
        <v>0</v>
      </c>
      <c r="AM45" s="80"/>
      <c r="AN45" s="80">
        <f t="shared" si="16"/>
        <v>191</v>
      </c>
      <c r="AO45" s="156" t="s">
        <v>149</v>
      </c>
      <c r="AP45" s="67">
        <f>10338</f>
        <v>10338</v>
      </c>
      <c r="AR45">
        <v>158</v>
      </c>
    </row>
    <row r="46" spans="1:44" ht="62.1" customHeight="1" x14ac:dyDescent="0.25">
      <c r="A46" s="68">
        <v>31</v>
      </c>
      <c r="B46" s="69" t="s">
        <v>108</v>
      </c>
      <c r="C46" s="89">
        <v>8101113</v>
      </c>
      <c r="D46" s="71"/>
      <c r="E46" s="71"/>
      <c r="F46" s="71"/>
      <c r="G46" s="71"/>
      <c r="H46" s="71"/>
      <c r="I46" s="71"/>
      <c r="J46" s="71"/>
      <c r="K46" s="71">
        <v>1014</v>
      </c>
      <c r="L46" s="52"/>
      <c r="M46" s="53">
        <v>331.15</v>
      </c>
      <c r="N46" s="90">
        <v>33</v>
      </c>
      <c r="O46" s="72">
        <v>33</v>
      </c>
      <c r="P46" s="72"/>
      <c r="Q46" s="72"/>
      <c r="R46" s="72"/>
      <c r="S46" s="73"/>
      <c r="T46" s="72"/>
      <c r="U46" s="74"/>
      <c r="V46" s="75"/>
      <c r="W46" s="57">
        <f t="shared" si="8"/>
        <v>33</v>
      </c>
      <c r="X46" s="76">
        <v>0</v>
      </c>
      <c r="Y46" s="160"/>
      <c r="Z46" s="59">
        <f t="shared" si="4"/>
        <v>0</v>
      </c>
      <c r="AA46" s="78">
        <f t="shared" si="14"/>
        <v>0</v>
      </c>
      <c r="AB46" s="78">
        <f t="shared" si="15"/>
        <v>0</v>
      </c>
      <c r="AC46" s="100"/>
      <c r="AD46" s="62"/>
      <c r="AE46" s="79">
        <f t="shared" si="7"/>
        <v>0</v>
      </c>
      <c r="AF46" s="52">
        <f t="shared" si="5"/>
        <v>33</v>
      </c>
      <c r="AG46" s="80"/>
      <c r="AH46" s="80"/>
      <c r="AI46" s="64">
        <f t="shared" si="2"/>
        <v>33</v>
      </c>
      <c r="AJ46" s="81"/>
      <c r="AK46" s="42">
        <f t="shared" si="3"/>
        <v>33</v>
      </c>
      <c r="AL46" s="43">
        <f t="shared" si="6"/>
        <v>0</v>
      </c>
      <c r="AM46" s="85"/>
      <c r="AN46" s="80">
        <f t="shared" si="16"/>
        <v>33</v>
      </c>
      <c r="AO46" s="106" t="s">
        <v>150</v>
      </c>
      <c r="AR46">
        <v>55</v>
      </c>
    </row>
    <row r="47" spans="1:44" ht="48" customHeight="1" x14ac:dyDescent="0.25">
      <c r="A47" s="68">
        <v>32</v>
      </c>
      <c r="B47" s="69" t="s">
        <v>109</v>
      </c>
      <c r="C47" s="89">
        <v>8101117</v>
      </c>
      <c r="D47" s="71"/>
      <c r="E47" s="71"/>
      <c r="F47" s="71"/>
      <c r="G47" s="71"/>
      <c r="H47" s="71"/>
      <c r="I47" s="71"/>
      <c r="J47" s="71"/>
      <c r="K47" s="71">
        <v>500</v>
      </c>
      <c r="L47" s="52"/>
      <c r="M47" s="53">
        <v>115.9</v>
      </c>
      <c r="N47" s="90">
        <v>10</v>
      </c>
      <c r="O47" s="72">
        <v>10</v>
      </c>
      <c r="P47" s="72"/>
      <c r="Q47" s="72"/>
      <c r="R47" s="72"/>
      <c r="S47" s="73"/>
      <c r="T47" s="72"/>
      <c r="U47" s="74"/>
      <c r="V47" s="75"/>
      <c r="W47" s="57">
        <f t="shared" si="8"/>
        <v>10</v>
      </c>
      <c r="X47" s="76">
        <v>0</v>
      </c>
      <c r="Y47" s="160"/>
      <c r="Z47" s="59">
        <f t="shared" si="4"/>
        <v>0</v>
      </c>
      <c r="AA47" s="78">
        <f t="shared" si="14"/>
        <v>0</v>
      </c>
      <c r="AB47" s="78">
        <f t="shared" si="15"/>
        <v>0</v>
      </c>
      <c r="AC47" s="79"/>
      <c r="AD47" s="62"/>
      <c r="AE47" s="79">
        <f t="shared" si="7"/>
        <v>0</v>
      </c>
      <c r="AF47" s="52">
        <f t="shared" si="5"/>
        <v>10</v>
      </c>
      <c r="AG47" s="80"/>
      <c r="AH47" s="80"/>
      <c r="AI47" s="64">
        <f t="shared" si="2"/>
        <v>10</v>
      </c>
      <c r="AJ47" s="81"/>
      <c r="AK47" s="42">
        <f t="shared" si="3"/>
        <v>10</v>
      </c>
      <c r="AL47" s="43">
        <f t="shared" si="6"/>
        <v>0</v>
      </c>
      <c r="AM47" s="85"/>
      <c r="AN47" s="80">
        <f t="shared" si="16"/>
        <v>10</v>
      </c>
      <c r="AO47" s="156" t="s">
        <v>149</v>
      </c>
    </row>
    <row r="48" spans="1:44" ht="47.1" customHeight="1" x14ac:dyDescent="0.25">
      <c r="A48" s="68">
        <v>33</v>
      </c>
      <c r="B48" s="69" t="s">
        <v>110</v>
      </c>
      <c r="C48" s="89">
        <v>8100890</v>
      </c>
      <c r="D48" s="71"/>
      <c r="E48" s="71"/>
      <c r="F48" s="71"/>
      <c r="G48" s="71"/>
      <c r="H48" s="71"/>
      <c r="I48" s="71"/>
      <c r="J48" s="71"/>
      <c r="K48" s="71">
        <v>1000</v>
      </c>
      <c r="L48" s="52"/>
      <c r="M48" s="53">
        <v>173.7</v>
      </c>
      <c r="N48" s="90">
        <v>10</v>
      </c>
      <c r="O48" s="72">
        <v>10</v>
      </c>
      <c r="P48" s="72"/>
      <c r="Q48" s="72"/>
      <c r="R48" s="72"/>
      <c r="S48" s="73"/>
      <c r="T48" s="72"/>
      <c r="U48" s="72"/>
      <c r="V48" s="72"/>
      <c r="W48" s="57">
        <f t="shared" si="8"/>
        <v>10</v>
      </c>
      <c r="X48" s="76">
        <v>0</v>
      </c>
      <c r="Y48" s="160"/>
      <c r="Z48" s="59">
        <f t="shared" si="4"/>
        <v>0</v>
      </c>
      <c r="AA48" s="78">
        <f t="shared" si="14"/>
        <v>0</v>
      </c>
      <c r="AB48" s="78">
        <f t="shared" si="15"/>
        <v>0</v>
      </c>
      <c r="AC48" s="79"/>
      <c r="AD48" s="62"/>
      <c r="AE48" s="79">
        <f t="shared" si="7"/>
        <v>0</v>
      </c>
      <c r="AF48" s="52">
        <f t="shared" si="5"/>
        <v>10</v>
      </c>
      <c r="AG48" s="80"/>
      <c r="AH48" s="80"/>
      <c r="AI48" s="64">
        <f t="shared" si="2"/>
        <v>10</v>
      </c>
      <c r="AJ48" s="81"/>
      <c r="AK48" s="42">
        <f t="shared" si="3"/>
        <v>10</v>
      </c>
      <c r="AL48" s="43">
        <f t="shared" si="6"/>
        <v>0</v>
      </c>
      <c r="AM48" s="80"/>
      <c r="AN48" s="80">
        <f t="shared" si="16"/>
        <v>10</v>
      </c>
      <c r="AO48" s="106" t="s">
        <v>151</v>
      </c>
    </row>
    <row r="49" spans="1:44" ht="37.35" customHeight="1" x14ac:dyDescent="0.25">
      <c r="A49" s="68">
        <v>34</v>
      </c>
      <c r="B49" s="69" t="s">
        <v>111</v>
      </c>
      <c r="C49" s="89">
        <v>8101116</v>
      </c>
      <c r="D49" s="71"/>
      <c r="E49" s="71"/>
      <c r="F49" s="71"/>
      <c r="G49" s="71"/>
      <c r="H49" s="71"/>
      <c r="I49" s="71"/>
      <c r="J49" s="71"/>
      <c r="K49" s="71">
        <v>700</v>
      </c>
      <c r="L49" s="52"/>
      <c r="M49" s="53">
        <v>239.99999999999997</v>
      </c>
      <c r="N49" s="90">
        <v>20</v>
      </c>
      <c r="O49" s="72">
        <v>20</v>
      </c>
      <c r="P49" s="72"/>
      <c r="Q49" s="72"/>
      <c r="R49" s="72"/>
      <c r="S49" s="73"/>
      <c r="T49" s="72"/>
      <c r="U49" s="74"/>
      <c r="V49" s="75"/>
      <c r="W49" s="57">
        <f t="shared" si="8"/>
        <v>20</v>
      </c>
      <c r="X49" s="76">
        <v>0</v>
      </c>
      <c r="Y49" s="160"/>
      <c r="Z49" s="59">
        <f t="shared" si="4"/>
        <v>0</v>
      </c>
      <c r="AA49" s="78">
        <f t="shared" si="14"/>
        <v>0</v>
      </c>
      <c r="AB49" s="78">
        <f t="shared" si="15"/>
        <v>0</v>
      </c>
      <c r="AC49" s="79"/>
      <c r="AD49" s="62"/>
      <c r="AE49" s="79">
        <f t="shared" si="7"/>
        <v>0</v>
      </c>
      <c r="AF49" s="52">
        <f t="shared" si="5"/>
        <v>20</v>
      </c>
      <c r="AG49" s="80"/>
      <c r="AH49" s="80"/>
      <c r="AI49" s="64">
        <f t="shared" si="2"/>
        <v>20</v>
      </c>
      <c r="AJ49" s="81"/>
      <c r="AK49" s="42">
        <f t="shared" si="3"/>
        <v>20</v>
      </c>
      <c r="AL49" s="43">
        <f t="shared" si="6"/>
        <v>0</v>
      </c>
      <c r="AM49" s="85"/>
      <c r="AN49" s="80">
        <f t="shared" si="16"/>
        <v>20</v>
      </c>
      <c r="AO49" s="154" t="s">
        <v>147</v>
      </c>
    </row>
    <row r="50" spans="1:44" ht="47.45" customHeight="1" x14ac:dyDescent="0.25">
      <c r="A50" s="68">
        <v>35</v>
      </c>
      <c r="B50" s="69" t="s">
        <v>112</v>
      </c>
      <c r="C50" s="89">
        <v>8101115</v>
      </c>
      <c r="D50" s="71"/>
      <c r="E50" s="71"/>
      <c r="F50" s="71"/>
      <c r="G50" s="71"/>
      <c r="H50" s="71"/>
      <c r="I50" s="71"/>
      <c r="J50" s="71"/>
      <c r="K50" s="71">
        <v>1556</v>
      </c>
      <c r="L50" s="52"/>
      <c r="M50" s="53">
        <v>306.99099999999999</v>
      </c>
      <c r="N50" s="90">
        <v>47</v>
      </c>
      <c r="O50" s="72">
        <v>50</v>
      </c>
      <c r="P50" s="72"/>
      <c r="Q50" s="72"/>
      <c r="R50" s="72"/>
      <c r="S50" s="73"/>
      <c r="T50" s="72"/>
      <c r="U50" s="74"/>
      <c r="V50" s="75"/>
      <c r="W50" s="57">
        <f t="shared" si="8"/>
        <v>50</v>
      </c>
      <c r="X50" s="76">
        <v>0</v>
      </c>
      <c r="Y50" s="160"/>
      <c r="Z50" s="59">
        <f t="shared" si="4"/>
        <v>0</v>
      </c>
      <c r="AA50" s="78">
        <f t="shared" si="14"/>
        <v>0</v>
      </c>
      <c r="AB50" s="78">
        <f t="shared" si="15"/>
        <v>0</v>
      </c>
      <c r="AC50" s="79"/>
      <c r="AD50" s="62"/>
      <c r="AE50" s="79">
        <f t="shared" si="7"/>
        <v>0</v>
      </c>
      <c r="AF50" s="52">
        <f t="shared" si="5"/>
        <v>50</v>
      </c>
      <c r="AG50" s="80"/>
      <c r="AH50" s="80"/>
      <c r="AI50" s="64">
        <f t="shared" si="2"/>
        <v>50</v>
      </c>
      <c r="AJ50" s="81"/>
      <c r="AK50" s="42">
        <f t="shared" si="3"/>
        <v>50</v>
      </c>
      <c r="AL50" s="43">
        <f t="shared" si="6"/>
        <v>0</v>
      </c>
      <c r="AM50" s="85"/>
      <c r="AN50" s="80">
        <f t="shared" si="16"/>
        <v>50</v>
      </c>
      <c r="AO50" s="154" t="s">
        <v>147</v>
      </c>
    </row>
    <row r="51" spans="1:44" ht="60" x14ac:dyDescent="0.25">
      <c r="A51" s="68">
        <v>36</v>
      </c>
      <c r="B51" s="69" t="s">
        <v>113</v>
      </c>
      <c r="C51" s="89">
        <v>8101736</v>
      </c>
      <c r="D51" s="71"/>
      <c r="E51" s="71"/>
      <c r="F51" s="71"/>
      <c r="G51" s="71"/>
      <c r="H51" s="71"/>
      <c r="I51" s="71"/>
      <c r="J51" s="71"/>
      <c r="K51" s="71">
        <v>3750</v>
      </c>
      <c r="L51" s="52"/>
      <c r="M51" s="53">
        <v>507.4</v>
      </c>
      <c r="N51" s="90">
        <v>50</v>
      </c>
      <c r="O51" s="72">
        <v>50</v>
      </c>
      <c r="P51" s="72"/>
      <c r="Q51" s="72"/>
      <c r="R51" s="72"/>
      <c r="S51" s="73"/>
      <c r="T51" s="72"/>
      <c r="U51" s="74"/>
      <c r="V51" s="75"/>
      <c r="W51" s="57">
        <f>SUM(O51:V51)</f>
        <v>50</v>
      </c>
      <c r="X51" s="76">
        <v>0</v>
      </c>
      <c r="Y51" s="160"/>
      <c r="Z51" s="59">
        <f t="shared" si="4"/>
        <v>0</v>
      </c>
      <c r="AA51" s="78">
        <f t="shared" si="14"/>
        <v>0</v>
      </c>
      <c r="AB51" s="78">
        <f t="shared" si="15"/>
        <v>0</v>
      </c>
      <c r="AC51" s="79"/>
      <c r="AD51" s="62"/>
      <c r="AE51" s="79">
        <f t="shared" si="7"/>
        <v>0</v>
      </c>
      <c r="AF51" s="52">
        <f t="shared" si="5"/>
        <v>50</v>
      </c>
      <c r="AG51" s="80"/>
      <c r="AH51" s="80"/>
      <c r="AI51" s="64">
        <f t="shared" si="2"/>
        <v>50</v>
      </c>
      <c r="AJ51" s="81"/>
      <c r="AK51" s="42">
        <f t="shared" si="3"/>
        <v>50</v>
      </c>
      <c r="AL51" s="43">
        <f t="shared" si="6"/>
        <v>0</v>
      </c>
      <c r="AM51" s="85"/>
      <c r="AN51" s="80">
        <f t="shared" si="16"/>
        <v>50</v>
      </c>
      <c r="AO51" s="156" t="s">
        <v>149</v>
      </c>
    </row>
    <row r="52" spans="1:44" ht="45" x14ac:dyDescent="0.25">
      <c r="A52" s="68">
        <v>37</v>
      </c>
      <c r="B52" s="69" t="s">
        <v>114</v>
      </c>
      <c r="C52" s="89">
        <v>8112949</v>
      </c>
      <c r="D52" s="71"/>
      <c r="E52" s="71"/>
      <c r="F52" s="71"/>
      <c r="G52" s="71"/>
      <c r="H52" s="71"/>
      <c r="I52" s="71"/>
      <c r="J52" s="71"/>
      <c r="K52" s="71">
        <v>250</v>
      </c>
      <c r="L52" s="52"/>
      <c r="M52" s="53">
        <v>182.3</v>
      </c>
      <c r="N52" s="90">
        <v>15</v>
      </c>
      <c r="O52" s="72">
        <v>15</v>
      </c>
      <c r="P52" s="72"/>
      <c r="Q52" s="72"/>
      <c r="R52" s="72"/>
      <c r="S52" s="73"/>
      <c r="T52" s="72"/>
      <c r="U52" s="74"/>
      <c r="V52" s="74"/>
      <c r="W52" s="57">
        <f t="shared" si="8"/>
        <v>15</v>
      </c>
      <c r="X52" s="76">
        <v>0</v>
      </c>
      <c r="Y52" s="160"/>
      <c r="Z52" s="59">
        <f t="shared" si="4"/>
        <v>0</v>
      </c>
      <c r="AA52" s="78">
        <f t="shared" si="14"/>
        <v>0</v>
      </c>
      <c r="AB52" s="78">
        <f t="shared" si="15"/>
        <v>0</v>
      </c>
      <c r="AC52" s="79"/>
      <c r="AD52" s="62"/>
      <c r="AE52" s="79">
        <f t="shared" si="7"/>
        <v>0</v>
      </c>
      <c r="AF52" s="52">
        <f t="shared" si="5"/>
        <v>15</v>
      </c>
      <c r="AG52" s="80"/>
      <c r="AH52" s="80"/>
      <c r="AI52" s="64">
        <f t="shared" si="2"/>
        <v>15</v>
      </c>
      <c r="AJ52" s="81"/>
      <c r="AK52" s="42">
        <f t="shared" si="3"/>
        <v>15</v>
      </c>
      <c r="AL52" s="43">
        <f t="shared" si="6"/>
        <v>0</v>
      </c>
      <c r="AM52" s="85"/>
      <c r="AN52" s="80">
        <f t="shared" si="16"/>
        <v>15</v>
      </c>
      <c r="AO52" s="156" t="s">
        <v>149</v>
      </c>
    </row>
    <row r="53" spans="1:44" ht="57.6" customHeight="1" x14ac:dyDescent="0.25">
      <c r="A53" s="68">
        <v>38</v>
      </c>
      <c r="B53" s="69" t="s">
        <v>115</v>
      </c>
      <c r="C53" s="89">
        <v>8111980</v>
      </c>
      <c r="D53" s="71"/>
      <c r="E53" s="71"/>
      <c r="F53" s="71"/>
      <c r="G53" s="71"/>
      <c r="H53" s="71"/>
      <c r="I53" s="71"/>
      <c r="J53" s="71"/>
      <c r="K53" s="71">
        <v>418</v>
      </c>
      <c r="L53" s="52"/>
      <c r="M53" s="53">
        <v>359.4</v>
      </c>
      <c r="N53" s="90">
        <v>33</v>
      </c>
      <c r="O53" s="72">
        <v>33</v>
      </c>
      <c r="P53" s="72"/>
      <c r="Q53" s="72"/>
      <c r="R53" s="72"/>
      <c r="S53" s="73"/>
      <c r="T53" s="72"/>
      <c r="U53" s="74"/>
      <c r="V53" s="74"/>
      <c r="W53" s="57">
        <f t="shared" si="8"/>
        <v>33</v>
      </c>
      <c r="X53" s="76">
        <v>0</v>
      </c>
      <c r="Y53" s="160"/>
      <c r="Z53" s="59">
        <f t="shared" si="4"/>
        <v>0</v>
      </c>
      <c r="AA53" s="78">
        <f t="shared" si="14"/>
        <v>0</v>
      </c>
      <c r="AB53" s="78">
        <f t="shared" si="15"/>
        <v>0</v>
      </c>
      <c r="AC53" s="79"/>
      <c r="AD53" s="62"/>
      <c r="AE53" s="79">
        <f t="shared" si="7"/>
        <v>0</v>
      </c>
      <c r="AF53" s="52">
        <f t="shared" si="5"/>
        <v>33</v>
      </c>
      <c r="AG53" s="80"/>
      <c r="AH53" s="80"/>
      <c r="AI53" s="64">
        <f t="shared" si="2"/>
        <v>33</v>
      </c>
      <c r="AJ53" s="81"/>
      <c r="AK53" s="42">
        <f t="shared" si="3"/>
        <v>33</v>
      </c>
      <c r="AL53" s="43">
        <f t="shared" si="6"/>
        <v>0</v>
      </c>
      <c r="AM53" s="85"/>
      <c r="AN53" s="80">
        <f t="shared" si="16"/>
        <v>33</v>
      </c>
      <c r="AO53" s="106" t="s">
        <v>150</v>
      </c>
    </row>
    <row r="54" spans="1:44" ht="86.1" customHeight="1" x14ac:dyDescent="0.25">
      <c r="A54" s="68">
        <v>39</v>
      </c>
      <c r="B54" s="69" t="s">
        <v>116</v>
      </c>
      <c r="C54" s="89">
        <v>8113485</v>
      </c>
      <c r="D54" s="71"/>
      <c r="E54" s="71"/>
      <c r="F54" s="71"/>
      <c r="G54" s="71"/>
      <c r="H54" s="71"/>
      <c r="I54" s="71"/>
      <c r="J54" s="71"/>
      <c r="K54" s="71">
        <v>500</v>
      </c>
      <c r="L54" s="52"/>
      <c r="M54" s="53">
        <v>442</v>
      </c>
      <c r="N54" s="90">
        <v>50</v>
      </c>
      <c r="O54" s="72">
        <v>50</v>
      </c>
      <c r="P54" s="72"/>
      <c r="Q54" s="72"/>
      <c r="R54" s="72"/>
      <c r="S54" s="73"/>
      <c r="T54" s="72"/>
      <c r="U54" s="72"/>
      <c r="V54" s="93"/>
      <c r="W54" s="57">
        <f t="shared" si="8"/>
        <v>50</v>
      </c>
      <c r="X54" s="76">
        <v>0</v>
      </c>
      <c r="Y54" s="160"/>
      <c r="Z54" s="59">
        <f t="shared" si="4"/>
        <v>0</v>
      </c>
      <c r="AA54" s="78">
        <f t="shared" si="14"/>
        <v>0</v>
      </c>
      <c r="AB54" s="78">
        <f t="shared" si="15"/>
        <v>0</v>
      </c>
      <c r="AC54" s="79"/>
      <c r="AD54" s="62"/>
      <c r="AE54" s="79">
        <f t="shared" si="7"/>
        <v>0</v>
      </c>
      <c r="AF54" s="52">
        <f t="shared" si="5"/>
        <v>50</v>
      </c>
      <c r="AG54" s="80"/>
      <c r="AH54" s="80"/>
      <c r="AI54" s="64">
        <f t="shared" si="2"/>
        <v>50</v>
      </c>
      <c r="AJ54" s="81"/>
      <c r="AK54" s="42">
        <f t="shared" si="3"/>
        <v>50</v>
      </c>
      <c r="AL54" s="43">
        <f t="shared" si="6"/>
        <v>0</v>
      </c>
      <c r="AM54" s="85"/>
      <c r="AN54" s="80">
        <f t="shared" si="16"/>
        <v>50</v>
      </c>
      <c r="AO54" s="156" t="s">
        <v>149</v>
      </c>
    </row>
    <row r="55" spans="1:44" ht="48" customHeight="1" x14ac:dyDescent="0.25">
      <c r="A55" s="68">
        <v>40</v>
      </c>
      <c r="B55" s="69" t="s">
        <v>117</v>
      </c>
      <c r="C55" s="89">
        <v>8113487</v>
      </c>
      <c r="D55" s="71"/>
      <c r="E55" s="71"/>
      <c r="F55" s="71"/>
      <c r="G55" s="71"/>
      <c r="H55" s="71"/>
      <c r="I55" s="71"/>
      <c r="J55" s="71"/>
      <c r="K55" s="71">
        <v>2000</v>
      </c>
      <c r="L55" s="52"/>
      <c r="M55" s="53">
        <v>229</v>
      </c>
      <c r="N55" s="90">
        <v>37</v>
      </c>
      <c r="O55" s="72">
        <v>50</v>
      </c>
      <c r="P55" s="72"/>
      <c r="Q55" s="72"/>
      <c r="R55" s="72"/>
      <c r="S55" s="73"/>
      <c r="T55" s="72"/>
      <c r="U55" s="74"/>
      <c r="V55" s="75"/>
      <c r="W55" s="57">
        <f t="shared" si="8"/>
        <v>50</v>
      </c>
      <c r="X55" s="76">
        <v>0</v>
      </c>
      <c r="Y55" s="160"/>
      <c r="Z55" s="59">
        <f t="shared" si="4"/>
        <v>0</v>
      </c>
      <c r="AA55" s="78">
        <f t="shared" si="14"/>
        <v>0</v>
      </c>
      <c r="AB55" s="78">
        <f t="shared" si="15"/>
        <v>0</v>
      </c>
      <c r="AC55" s="79"/>
      <c r="AD55" s="62"/>
      <c r="AE55" s="79">
        <f t="shared" si="7"/>
        <v>0</v>
      </c>
      <c r="AF55" s="52">
        <f t="shared" si="5"/>
        <v>50</v>
      </c>
      <c r="AG55" s="80"/>
      <c r="AH55" s="80"/>
      <c r="AI55" s="64">
        <f t="shared" si="2"/>
        <v>50</v>
      </c>
      <c r="AJ55" s="81"/>
      <c r="AK55" s="42">
        <f t="shared" si="3"/>
        <v>50</v>
      </c>
      <c r="AL55" s="43">
        <f t="shared" si="6"/>
        <v>0</v>
      </c>
      <c r="AM55" s="85"/>
      <c r="AN55" s="80">
        <f t="shared" si="16"/>
        <v>50</v>
      </c>
      <c r="AO55" s="154" t="s">
        <v>147</v>
      </c>
    </row>
    <row r="56" spans="1:44" ht="46.35" customHeight="1" x14ac:dyDescent="0.25">
      <c r="A56" s="68">
        <v>41</v>
      </c>
      <c r="B56" s="69" t="s">
        <v>118</v>
      </c>
      <c r="C56" s="89">
        <v>8112948</v>
      </c>
      <c r="D56" s="71"/>
      <c r="E56" s="71"/>
      <c r="F56" s="71"/>
      <c r="G56" s="71"/>
      <c r="H56" s="71"/>
      <c r="I56" s="71"/>
      <c r="J56" s="71"/>
      <c r="K56" s="71">
        <v>284</v>
      </c>
      <c r="L56" s="52"/>
      <c r="M56" s="53">
        <v>129.5</v>
      </c>
      <c r="N56" s="90">
        <v>6</v>
      </c>
      <c r="O56" s="72">
        <v>6</v>
      </c>
      <c r="P56" s="72"/>
      <c r="Q56" s="72"/>
      <c r="R56" s="72"/>
      <c r="S56" s="73"/>
      <c r="T56" s="72"/>
      <c r="U56" s="74"/>
      <c r="V56" s="74"/>
      <c r="W56" s="57">
        <f t="shared" si="8"/>
        <v>6</v>
      </c>
      <c r="X56" s="76">
        <v>0</v>
      </c>
      <c r="Y56" s="160"/>
      <c r="Z56" s="59">
        <f t="shared" si="4"/>
        <v>0</v>
      </c>
      <c r="AA56" s="78">
        <f t="shared" si="14"/>
        <v>0</v>
      </c>
      <c r="AB56" s="78">
        <f t="shared" si="15"/>
        <v>0</v>
      </c>
      <c r="AC56" s="79"/>
      <c r="AD56" s="62"/>
      <c r="AE56" s="79">
        <f t="shared" si="7"/>
        <v>0</v>
      </c>
      <c r="AF56" s="52">
        <f t="shared" si="5"/>
        <v>6</v>
      </c>
      <c r="AG56" s="80"/>
      <c r="AH56" s="80"/>
      <c r="AI56" s="64">
        <f t="shared" si="2"/>
        <v>6</v>
      </c>
      <c r="AJ56" s="81"/>
      <c r="AK56" s="42">
        <f t="shared" si="3"/>
        <v>6</v>
      </c>
      <c r="AL56" s="43">
        <f t="shared" si="6"/>
        <v>0</v>
      </c>
      <c r="AM56" s="85"/>
      <c r="AN56" s="80">
        <f t="shared" si="16"/>
        <v>6</v>
      </c>
      <c r="AO56" s="106" t="s">
        <v>151</v>
      </c>
    </row>
    <row r="57" spans="1:44" ht="51.6" customHeight="1" x14ac:dyDescent="0.25">
      <c r="A57" s="68">
        <v>42</v>
      </c>
      <c r="B57" s="69" t="s">
        <v>119</v>
      </c>
      <c r="C57" s="89">
        <v>8118634</v>
      </c>
      <c r="D57" s="71"/>
      <c r="E57" s="71"/>
      <c r="F57" s="71"/>
      <c r="G57" s="71"/>
      <c r="H57" s="71"/>
      <c r="I57" s="71"/>
      <c r="J57" s="71"/>
      <c r="K57" s="71">
        <v>460</v>
      </c>
      <c r="L57" s="52"/>
      <c r="M57" s="53">
        <v>388.14</v>
      </c>
      <c r="N57" s="90">
        <v>23</v>
      </c>
      <c r="O57" s="72">
        <v>23</v>
      </c>
      <c r="P57" s="72"/>
      <c r="Q57" s="72"/>
      <c r="R57" s="72"/>
      <c r="S57" s="73"/>
      <c r="T57" s="72"/>
      <c r="U57" s="74"/>
      <c r="V57" s="74"/>
      <c r="W57" s="57">
        <f t="shared" si="8"/>
        <v>23</v>
      </c>
      <c r="X57" s="76">
        <v>0</v>
      </c>
      <c r="Y57" s="160"/>
      <c r="Z57" s="59">
        <f t="shared" si="4"/>
        <v>0</v>
      </c>
      <c r="AA57" s="78">
        <f t="shared" si="14"/>
        <v>0</v>
      </c>
      <c r="AB57" s="78">
        <f t="shared" si="15"/>
        <v>0</v>
      </c>
      <c r="AC57" s="79"/>
      <c r="AD57" s="62"/>
      <c r="AE57" s="79">
        <f t="shared" si="7"/>
        <v>0</v>
      </c>
      <c r="AF57" s="52">
        <f t="shared" si="5"/>
        <v>23</v>
      </c>
      <c r="AG57" s="80"/>
      <c r="AH57" s="80"/>
      <c r="AI57" s="64">
        <f t="shared" si="2"/>
        <v>23</v>
      </c>
      <c r="AJ57" s="81"/>
      <c r="AK57" s="42">
        <f t="shared" si="3"/>
        <v>23</v>
      </c>
      <c r="AL57" s="43">
        <f t="shared" si="6"/>
        <v>0</v>
      </c>
      <c r="AM57" s="85"/>
      <c r="AN57" s="80">
        <f t="shared" si="16"/>
        <v>23</v>
      </c>
      <c r="AO57" s="106" t="s">
        <v>150</v>
      </c>
    </row>
    <row r="58" spans="1:44" ht="60.6" customHeight="1" x14ac:dyDescent="0.25">
      <c r="A58" s="68">
        <v>43</v>
      </c>
      <c r="B58" s="69" t="s">
        <v>120</v>
      </c>
      <c r="C58" s="89">
        <v>8111984</v>
      </c>
      <c r="D58" s="71"/>
      <c r="E58" s="71"/>
      <c r="F58" s="71"/>
      <c r="G58" s="71"/>
      <c r="H58" s="71"/>
      <c r="I58" s="71"/>
      <c r="J58" s="71"/>
      <c r="K58" s="71">
        <v>3000</v>
      </c>
      <c r="L58" s="52"/>
      <c r="M58" s="53">
        <v>531</v>
      </c>
      <c r="N58" s="90">
        <v>25</v>
      </c>
      <c r="O58" s="72">
        <v>25</v>
      </c>
      <c r="P58" s="72"/>
      <c r="Q58" s="72"/>
      <c r="R58" s="72"/>
      <c r="S58" s="73"/>
      <c r="T58" s="72"/>
      <c r="U58" s="74"/>
      <c r="V58" s="75"/>
      <c r="W58" s="57">
        <f t="shared" si="8"/>
        <v>25</v>
      </c>
      <c r="X58" s="76">
        <v>0</v>
      </c>
      <c r="Y58" s="160"/>
      <c r="Z58" s="59">
        <f t="shared" si="4"/>
        <v>0</v>
      </c>
      <c r="AA58" s="78">
        <f t="shared" si="14"/>
        <v>0</v>
      </c>
      <c r="AB58" s="78">
        <f t="shared" si="15"/>
        <v>0</v>
      </c>
      <c r="AC58" s="79"/>
      <c r="AD58" s="62"/>
      <c r="AE58" s="79">
        <f t="shared" si="7"/>
        <v>0</v>
      </c>
      <c r="AF58" s="52">
        <f t="shared" si="5"/>
        <v>25</v>
      </c>
      <c r="AG58" s="80"/>
      <c r="AH58" s="80"/>
      <c r="AI58" s="64">
        <f t="shared" si="2"/>
        <v>25</v>
      </c>
      <c r="AJ58" s="81"/>
      <c r="AK58" s="42">
        <f t="shared" si="3"/>
        <v>25</v>
      </c>
      <c r="AL58" s="43">
        <f t="shared" si="6"/>
        <v>0</v>
      </c>
      <c r="AM58" s="85"/>
      <c r="AN58" s="80">
        <f t="shared" si="16"/>
        <v>25</v>
      </c>
      <c r="AO58" s="156" t="s">
        <v>149</v>
      </c>
    </row>
    <row r="59" spans="1:44" ht="62.1" customHeight="1" x14ac:dyDescent="0.25">
      <c r="A59" s="68">
        <v>44</v>
      </c>
      <c r="B59" s="69" t="s">
        <v>121</v>
      </c>
      <c r="C59" s="89">
        <v>8111979</v>
      </c>
      <c r="D59" s="71"/>
      <c r="E59" s="71"/>
      <c r="F59" s="71"/>
      <c r="G59" s="71"/>
      <c r="H59" s="71"/>
      <c r="I59" s="71"/>
      <c r="J59" s="71"/>
      <c r="K59" s="71">
        <v>3000</v>
      </c>
      <c r="L59" s="52"/>
      <c r="M59" s="53">
        <v>547.70000000000005</v>
      </c>
      <c r="N59" s="90">
        <v>265</v>
      </c>
      <c r="O59" s="72"/>
      <c r="P59" s="72"/>
      <c r="Q59" s="72"/>
      <c r="R59" s="72"/>
      <c r="S59" s="72">
        <v>265</v>
      </c>
      <c r="T59" s="72"/>
      <c r="U59" s="72"/>
      <c r="V59" s="93"/>
      <c r="W59" s="57">
        <f t="shared" si="8"/>
        <v>265</v>
      </c>
      <c r="X59" s="76">
        <v>0</v>
      </c>
      <c r="Y59" s="160"/>
      <c r="Z59" s="59">
        <f t="shared" si="4"/>
        <v>0</v>
      </c>
      <c r="AA59" s="78">
        <v>0</v>
      </c>
      <c r="AB59" s="78">
        <v>0</v>
      </c>
      <c r="AC59" s="79"/>
      <c r="AD59" s="62"/>
      <c r="AE59" s="79">
        <f t="shared" si="7"/>
        <v>0</v>
      </c>
      <c r="AF59" s="52">
        <f t="shared" si="5"/>
        <v>265</v>
      </c>
      <c r="AG59" s="80"/>
      <c r="AH59" s="80"/>
      <c r="AI59" s="64">
        <f t="shared" si="2"/>
        <v>265</v>
      </c>
      <c r="AJ59" s="81"/>
      <c r="AK59" s="42">
        <f t="shared" si="3"/>
        <v>265</v>
      </c>
      <c r="AL59" s="43">
        <f t="shared" si="6"/>
        <v>0</v>
      </c>
      <c r="AM59" s="85"/>
      <c r="AN59" s="80">
        <f t="shared" si="16"/>
        <v>265</v>
      </c>
      <c r="AO59" s="156" t="s">
        <v>149</v>
      </c>
    </row>
    <row r="60" spans="1:44" ht="51.6" customHeight="1" x14ac:dyDescent="0.25">
      <c r="A60" s="68">
        <v>45</v>
      </c>
      <c r="B60" s="69" t="s">
        <v>122</v>
      </c>
      <c r="C60" s="89">
        <v>8113209</v>
      </c>
      <c r="D60" s="71"/>
      <c r="E60" s="71"/>
      <c r="F60" s="71"/>
      <c r="G60" s="71"/>
      <c r="H60" s="71"/>
      <c r="I60" s="71"/>
      <c r="J60" s="71"/>
      <c r="K60" s="71">
        <v>300</v>
      </c>
      <c r="L60" s="52"/>
      <c r="M60" s="53">
        <v>267.56</v>
      </c>
      <c r="N60" s="90">
        <v>61775</v>
      </c>
      <c r="O60" s="72">
        <v>61775</v>
      </c>
      <c r="P60" s="72"/>
      <c r="Q60" s="72"/>
      <c r="R60" s="72"/>
      <c r="S60" s="73"/>
      <c r="T60" s="72"/>
      <c r="U60" s="74"/>
      <c r="V60" s="75"/>
      <c r="W60" s="57">
        <f t="shared" si="8"/>
        <v>61775</v>
      </c>
      <c r="X60" s="76">
        <v>28362.960999999999</v>
      </c>
      <c r="Y60" s="160"/>
      <c r="Z60" s="59">
        <f t="shared" si="4"/>
        <v>28362.960999999999</v>
      </c>
      <c r="AA60" s="78">
        <f t="shared" si="14"/>
        <v>0.45913332254148115</v>
      </c>
      <c r="AB60" s="78">
        <f t="shared" si="15"/>
        <v>0.45913332254148115</v>
      </c>
      <c r="AC60" s="79">
        <v>6000</v>
      </c>
      <c r="AD60" s="62"/>
      <c r="AE60" s="79">
        <f t="shared" si="7"/>
        <v>6000</v>
      </c>
      <c r="AF60" s="52">
        <f t="shared" si="5"/>
        <v>33412.039000000004</v>
      </c>
      <c r="AG60" s="80"/>
      <c r="AH60" s="80"/>
      <c r="AI60" s="64">
        <f t="shared" si="2"/>
        <v>33412.039000000004</v>
      </c>
      <c r="AJ60" s="81">
        <v>10000</v>
      </c>
      <c r="AK60" s="42">
        <f t="shared" si="3"/>
        <v>23412.039000000004</v>
      </c>
      <c r="AL60" s="43">
        <f t="shared" si="6"/>
        <v>0.62101110481586397</v>
      </c>
      <c r="AM60" s="85"/>
      <c r="AN60" s="80">
        <f t="shared" si="16"/>
        <v>33412.039000000004</v>
      </c>
      <c r="AO60" s="154" t="s">
        <v>147</v>
      </c>
    </row>
    <row r="61" spans="1:44" ht="45" x14ac:dyDescent="0.25">
      <c r="A61" s="68">
        <v>46</v>
      </c>
      <c r="B61" s="69" t="s">
        <v>123</v>
      </c>
      <c r="C61" s="89">
        <v>8100888</v>
      </c>
      <c r="D61" s="71"/>
      <c r="E61" s="71"/>
      <c r="F61" s="71"/>
      <c r="G61" s="71"/>
      <c r="H61" s="71"/>
      <c r="I61" s="71"/>
      <c r="J61" s="71"/>
      <c r="K61" s="71">
        <v>1983</v>
      </c>
      <c r="L61" s="52"/>
      <c r="M61" s="53">
        <v>1530</v>
      </c>
      <c r="N61" s="90">
        <v>507784</v>
      </c>
      <c r="O61" s="72">
        <v>745850</v>
      </c>
      <c r="P61" s="72"/>
      <c r="Q61" s="72"/>
      <c r="R61" s="72"/>
      <c r="S61" s="73"/>
      <c r="T61" s="72"/>
      <c r="U61" s="74">
        <v>-118066</v>
      </c>
      <c r="V61" s="75"/>
      <c r="W61" s="57">
        <f t="shared" si="8"/>
        <v>627784</v>
      </c>
      <c r="X61" s="76">
        <v>497783.54</v>
      </c>
      <c r="Y61" s="160"/>
      <c r="Z61" s="59">
        <f t="shared" si="4"/>
        <v>497783.54</v>
      </c>
      <c r="AA61" s="78">
        <f>Z61/W61</f>
        <v>0.79292167369668543</v>
      </c>
      <c r="AB61" s="78">
        <f>Z61/N61</f>
        <v>0.98030568115576699</v>
      </c>
      <c r="AC61" s="79"/>
      <c r="AD61" s="62"/>
      <c r="AE61" s="79">
        <f t="shared" si="7"/>
        <v>0</v>
      </c>
      <c r="AF61" s="52">
        <f t="shared" si="5"/>
        <v>130000.46000000002</v>
      </c>
      <c r="AG61" s="80"/>
      <c r="AH61" s="80"/>
      <c r="AI61" s="64">
        <f t="shared" si="2"/>
        <v>130000.46000000002</v>
      </c>
      <c r="AJ61" s="81">
        <v>270000</v>
      </c>
      <c r="AK61" s="42">
        <f t="shared" si="3"/>
        <v>-139999.53999999998</v>
      </c>
      <c r="AL61" s="43">
        <f t="shared" si="6"/>
        <v>1.2230059064901304</v>
      </c>
      <c r="AM61" s="85"/>
      <c r="AN61" s="80">
        <f t="shared" si="16"/>
        <v>130000.46000000002</v>
      </c>
      <c r="AO61" s="156" t="s">
        <v>149</v>
      </c>
      <c r="AQ61" s="109">
        <v>167340</v>
      </c>
      <c r="AR61" s="105">
        <v>167340</v>
      </c>
    </row>
    <row r="62" spans="1:44" ht="40.5" customHeight="1" x14ac:dyDescent="0.25">
      <c r="A62" s="48" t="s">
        <v>124</v>
      </c>
      <c r="B62" s="49" t="s">
        <v>125</v>
      </c>
      <c r="C62" s="110"/>
      <c r="D62" s="104"/>
      <c r="E62" s="104"/>
      <c r="F62" s="104"/>
      <c r="G62" s="104"/>
      <c r="H62" s="104"/>
      <c r="I62" s="104"/>
      <c r="J62" s="104"/>
      <c r="K62" s="104"/>
      <c r="L62" s="52"/>
      <c r="M62" s="53"/>
      <c r="N62" s="104"/>
      <c r="O62" s="104"/>
      <c r="P62" s="104"/>
      <c r="Q62" s="104"/>
      <c r="R62" s="104"/>
      <c r="S62" s="73"/>
      <c r="T62" s="104"/>
      <c r="U62" s="104"/>
      <c r="V62" s="104"/>
      <c r="W62" s="57">
        <f t="shared" si="8"/>
        <v>0</v>
      </c>
      <c r="X62" s="76"/>
      <c r="Y62" s="160"/>
      <c r="Z62" s="59"/>
      <c r="AA62" s="78"/>
      <c r="AB62" s="78"/>
      <c r="AC62" s="79"/>
      <c r="AD62" s="111"/>
      <c r="AE62" s="79">
        <f t="shared" si="7"/>
        <v>0</v>
      </c>
      <c r="AF62" s="52">
        <f t="shared" si="5"/>
        <v>0</v>
      </c>
      <c r="AG62" s="80"/>
      <c r="AH62" s="80"/>
      <c r="AI62" s="64">
        <f t="shared" si="2"/>
        <v>0</v>
      </c>
      <c r="AJ62" s="81"/>
      <c r="AK62" s="42">
        <f t="shared" si="3"/>
        <v>0</v>
      </c>
      <c r="AL62" s="43"/>
      <c r="AM62" s="85"/>
      <c r="AN62" s="85"/>
      <c r="AO62" s="48"/>
      <c r="AQ62" s="112">
        <f>AQ61-Z61</f>
        <v>-330443.53999999998</v>
      </c>
      <c r="AR62" s="113">
        <f>AR61-Z61</f>
        <v>-330443.53999999998</v>
      </c>
    </row>
    <row r="63" spans="1:44" ht="30" customHeight="1" x14ac:dyDescent="0.25">
      <c r="A63" s="68">
        <v>1</v>
      </c>
      <c r="B63" s="69" t="s">
        <v>126</v>
      </c>
      <c r="C63" s="114" t="s">
        <v>127</v>
      </c>
      <c r="D63" s="71"/>
      <c r="E63" s="71"/>
      <c r="F63" s="71"/>
      <c r="G63" s="71"/>
      <c r="H63" s="71"/>
      <c r="I63" s="71"/>
      <c r="J63" s="71">
        <v>5354</v>
      </c>
      <c r="K63" s="71">
        <v>19662</v>
      </c>
      <c r="L63" s="52"/>
      <c r="M63" s="53">
        <v>19661.934000000001</v>
      </c>
      <c r="N63" s="90">
        <v>5992</v>
      </c>
      <c r="O63" s="72"/>
      <c r="P63" s="72">
        <v>100</v>
      </c>
      <c r="Q63" s="72"/>
      <c r="R63" s="72">
        <v>700</v>
      </c>
      <c r="S63" s="73"/>
      <c r="T63" s="72"/>
      <c r="U63" s="72">
        <v>5992</v>
      </c>
      <c r="V63" s="72"/>
      <c r="W63" s="57">
        <f t="shared" si="8"/>
        <v>6792</v>
      </c>
      <c r="X63" s="76">
        <v>100</v>
      </c>
      <c r="Y63" s="160"/>
      <c r="Z63" s="59">
        <f t="shared" si="4"/>
        <v>100</v>
      </c>
      <c r="AA63" s="115">
        <f>Z63/W63</f>
        <v>1.4723203769140165E-2</v>
      </c>
      <c r="AB63" s="78">
        <v>0</v>
      </c>
      <c r="AC63" s="79">
        <v>3000</v>
      </c>
      <c r="AD63" s="115"/>
      <c r="AE63" s="79">
        <f t="shared" si="7"/>
        <v>3000</v>
      </c>
      <c r="AF63" s="52">
        <f t="shared" si="5"/>
        <v>6692</v>
      </c>
      <c r="AG63" s="80"/>
      <c r="AH63" s="80"/>
      <c r="AI63" s="64">
        <f t="shared" si="2"/>
        <v>6692</v>
      </c>
      <c r="AJ63" s="81"/>
      <c r="AK63" s="42">
        <f t="shared" si="3"/>
        <v>6692</v>
      </c>
      <c r="AL63" s="43">
        <f t="shared" si="6"/>
        <v>1.4723203769140165E-2</v>
      </c>
      <c r="AM63" s="85"/>
      <c r="AN63" s="85"/>
      <c r="AO63" s="116" t="s">
        <v>152</v>
      </c>
      <c r="AR63" s="117">
        <f>383-60</f>
        <v>323</v>
      </c>
    </row>
    <row r="64" spans="1:44" ht="36" customHeight="1" x14ac:dyDescent="0.25">
      <c r="A64" s="68">
        <v>2</v>
      </c>
      <c r="B64" s="69" t="s">
        <v>128</v>
      </c>
      <c r="C64" s="114" t="s">
        <v>129</v>
      </c>
      <c r="D64" s="71"/>
      <c r="E64" s="71">
        <v>7500</v>
      </c>
      <c r="F64" s="71">
        <v>2600</v>
      </c>
      <c r="G64" s="71"/>
      <c r="H64" s="71"/>
      <c r="I64" s="71"/>
      <c r="J64" s="71">
        <v>6090</v>
      </c>
      <c r="K64" s="71">
        <v>19816</v>
      </c>
      <c r="L64" s="52"/>
      <c r="M64" s="71"/>
      <c r="N64" s="90">
        <v>6500</v>
      </c>
      <c r="O64" s="72"/>
      <c r="P64" s="72">
        <v>100</v>
      </c>
      <c r="Q64" s="72"/>
      <c r="R64" s="72">
        <v>1000</v>
      </c>
      <c r="S64" s="73"/>
      <c r="T64" s="72"/>
      <c r="U64" s="74">
        <v>3000</v>
      </c>
      <c r="V64" s="75"/>
      <c r="W64" s="57">
        <f t="shared" si="8"/>
        <v>4100</v>
      </c>
      <c r="X64" s="76">
        <v>100</v>
      </c>
      <c r="Y64" s="160"/>
      <c r="Z64" s="59">
        <f t="shared" si="4"/>
        <v>100</v>
      </c>
      <c r="AA64" s="115">
        <f t="shared" ref="AA64:AA66" si="17">Z64/W64</f>
        <v>2.4390243902439025E-2</v>
      </c>
      <c r="AB64" s="78">
        <v>0</v>
      </c>
      <c r="AC64" s="79">
        <f>423+37</f>
        <v>460</v>
      </c>
      <c r="AD64" s="115"/>
      <c r="AE64" s="79">
        <f t="shared" si="7"/>
        <v>460</v>
      </c>
      <c r="AF64" s="52">
        <f t="shared" si="5"/>
        <v>4000</v>
      </c>
      <c r="AG64" s="80"/>
      <c r="AH64" s="80"/>
      <c r="AI64" s="64">
        <f t="shared" si="2"/>
        <v>4000</v>
      </c>
      <c r="AJ64" s="81"/>
      <c r="AK64" s="42">
        <f t="shared" si="3"/>
        <v>4000</v>
      </c>
      <c r="AL64" s="43">
        <f t="shared" si="6"/>
        <v>2.4390243902439025E-2</v>
      </c>
      <c r="AM64" s="85"/>
      <c r="AN64" s="85"/>
      <c r="AO64" s="116" t="s">
        <v>150</v>
      </c>
    </row>
    <row r="65" spans="1:41" ht="48" customHeight="1" x14ac:dyDescent="0.25">
      <c r="A65" s="68">
        <v>3</v>
      </c>
      <c r="B65" s="69" t="s">
        <v>130</v>
      </c>
      <c r="C65" s="114" t="s">
        <v>131</v>
      </c>
      <c r="D65" s="71"/>
      <c r="E65" s="71">
        <v>6200</v>
      </c>
      <c r="F65" s="71">
        <v>4220</v>
      </c>
      <c r="G65" s="71"/>
      <c r="H65" s="71">
        <v>3960</v>
      </c>
      <c r="I65" s="71"/>
      <c r="J65" s="71"/>
      <c r="K65" s="71">
        <v>5251</v>
      </c>
      <c r="L65" s="52"/>
      <c r="M65" s="71"/>
      <c r="N65" s="90">
        <v>6000</v>
      </c>
      <c r="O65" s="72"/>
      <c r="P65" s="72">
        <v>100</v>
      </c>
      <c r="Q65" s="72"/>
      <c r="R65" s="72">
        <v>1000</v>
      </c>
      <c r="S65" s="73"/>
      <c r="T65" s="72"/>
      <c r="U65" s="74"/>
      <c r="V65" s="74"/>
      <c r="W65" s="57">
        <f t="shared" si="8"/>
        <v>1100</v>
      </c>
      <c r="X65" s="76">
        <v>100</v>
      </c>
      <c r="Y65" s="160"/>
      <c r="Z65" s="59">
        <f t="shared" si="4"/>
        <v>100</v>
      </c>
      <c r="AA65" s="115">
        <f t="shared" si="17"/>
        <v>9.0909090909090912E-2</v>
      </c>
      <c r="AB65" s="78">
        <v>0</v>
      </c>
      <c r="AC65" s="79">
        <f>448+26</f>
        <v>474</v>
      </c>
      <c r="AD65" s="115"/>
      <c r="AE65" s="79">
        <f t="shared" si="7"/>
        <v>474</v>
      </c>
      <c r="AF65" s="52">
        <f t="shared" si="5"/>
        <v>1000</v>
      </c>
      <c r="AG65" s="80"/>
      <c r="AH65" s="80"/>
      <c r="AI65" s="64">
        <f t="shared" si="2"/>
        <v>1000</v>
      </c>
      <c r="AJ65" s="81"/>
      <c r="AK65" s="42">
        <f t="shared" si="3"/>
        <v>1000</v>
      </c>
      <c r="AL65" s="43">
        <f t="shared" si="6"/>
        <v>9.0909090909090912E-2</v>
      </c>
      <c r="AM65" s="80"/>
      <c r="AN65" s="80"/>
      <c r="AO65" s="116" t="s">
        <v>150</v>
      </c>
    </row>
    <row r="66" spans="1:41" ht="60.6" customHeight="1" x14ac:dyDescent="0.25">
      <c r="A66" s="68">
        <v>4</v>
      </c>
      <c r="B66" s="69" t="s">
        <v>132</v>
      </c>
      <c r="C66" s="114" t="s">
        <v>133</v>
      </c>
      <c r="D66" s="71"/>
      <c r="E66" s="71"/>
      <c r="F66" s="71"/>
      <c r="G66" s="71"/>
      <c r="H66" s="71">
        <v>103</v>
      </c>
      <c r="I66" s="71"/>
      <c r="J66" s="71">
        <v>1500</v>
      </c>
      <c r="K66" s="71"/>
      <c r="L66" s="52"/>
      <c r="M66" s="71"/>
      <c r="N66" s="90">
        <v>10000</v>
      </c>
      <c r="O66" s="72"/>
      <c r="P66" s="72">
        <v>100</v>
      </c>
      <c r="Q66" s="72"/>
      <c r="R66" s="72">
        <v>600</v>
      </c>
      <c r="S66" s="73"/>
      <c r="T66" s="72"/>
      <c r="U66" s="72">
        <f>100-100</f>
        <v>0</v>
      </c>
      <c r="V66" s="72"/>
      <c r="W66" s="57">
        <f t="shared" si="8"/>
        <v>700</v>
      </c>
      <c r="X66" s="76">
        <v>100</v>
      </c>
      <c r="Y66" s="160"/>
      <c r="Z66" s="59">
        <f t="shared" si="4"/>
        <v>100</v>
      </c>
      <c r="AA66" s="115">
        <f t="shared" si="17"/>
        <v>0.14285714285714285</v>
      </c>
      <c r="AB66" s="78">
        <v>0</v>
      </c>
      <c r="AC66" s="79"/>
      <c r="AD66" s="115"/>
      <c r="AE66" s="79">
        <f t="shared" si="7"/>
        <v>0</v>
      </c>
      <c r="AF66" s="52">
        <f t="shared" si="5"/>
        <v>600</v>
      </c>
      <c r="AG66" s="80"/>
      <c r="AH66" s="80"/>
      <c r="AI66" s="64">
        <f t="shared" si="2"/>
        <v>600</v>
      </c>
      <c r="AJ66" s="81"/>
      <c r="AK66" s="42">
        <f t="shared" si="3"/>
        <v>600</v>
      </c>
      <c r="AL66" s="43">
        <f t="shared" si="6"/>
        <v>0.14285714285714285</v>
      </c>
      <c r="AM66" s="85"/>
      <c r="AN66" s="85"/>
      <c r="AO66" s="154" t="s">
        <v>147</v>
      </c>
    </row>
    <row r="67" spans="1:41" ht="61.35" customHeight="1" x14ac:dyDescent="0.25">
      <c r="A67" s="68">
        <v>5</v>
      </c>
      <c r="B67" s="69" t="s">
        <v>134</v>
      </c>
      <c r="C67" s="114" t="s">
        <v>135</v>
      </c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90">
        <v>4600</v>
      </c>
      <c r="O67" s="119"/>
      <c r="P67" s="72">
        <v>100</v>
      </c>
      <c r="Q67" s="118"/>
      <c r="R67" s="72">
        <v>250</v>
      </c>
      <c r="S67" s="118"/>
      <c r="T67" s="118"/>
      <c r="U67" s="120">
        <v>4250</v>
      </c>
      <c r="V67" s="118"/>
      <c r="W67" s="57">
        <f t="shared" si="8"/>
        <v>4600</v>
      </c>
      <c r="X67" s="76">
        <v>100</v>
      </c>
      <c r="Y67" s="161"/>
      <c r="Z67" s="121">
        <f>SUM(X67:Y67)</f>
        <v>100</v>
      </c>
      <c r="AA67" s="122">
        <f>Z67/W67</f>
        <v>2.1739130434782608E-2</v>
      </c>
      <c r="AB67" s="78">
        <v>0</v>
      </c>
      <c r="AC67" s="79">
        <v>320</v>
      </c>
      <c r="AD67" s="115"/>
      <c r="AE67" s="79">
        <f t="shared" si="7"/>
        <v>320</v>
      </c>
      <c r="AF67" s="52">
        <f t="shared" si="5"/>
        <v>4500</v>
      </c>
      <c r="AG67" s="118"/>
      <c r="AH67" s="118"/>
      <c r="AI67" s="118"/>
      <c r="AJ67" s="118"/>
      <c r="AK67" s="118">
        <f t="shared" si="3"/>
        <v>4500</v>
      </c>
      <c r="AL67" s="118">
        <f t="shared" si="6"/>
        <v>2.1739130434782608E-2</v>
      </c>
      <c r="AM67" s="118"/>
      <c r="AN67" s="118"/>
      <c r="AO67" s="116" t="s">
        <v>153</v>
      </c>
    </row>
    <row r="68" spans="1:41" ht="135.6" customHeight="1" x14ac:dyDescent="0.25">
      <c r="A68" s="68">
        <v>6</v>
      </c>
      <c r="B68" s="69" t="s">
        <v>136</v>
      </c>
      <c r="C68" s="123" t="s">
        <v>137</v>
      </c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90">
        <v>11400</v>
      </c>
      <c r="O68" s="124"/>
      <c r="P68" s="125">
        <v>100</v>
      </c>
      <c r="Q68" s="126"/>
      <c r="R68" s="72">
        <v>600</v>
      </c>
      <c r="S68" s="126"/>
      <c r="T68" s="126"/>
      <c r="U68" s="127">
        <v>10700</v>
      </c>
      <c r="V68" s="126"/>
      <c r="W68" s="57">
        <f t="shared" si="8"/>
        <v>11400</v>
      </c>
      <c r="X68" s="76">
        <v>100</v>
      </c>
      <c r="Y68" s="162"/>
      <c r="Z68" s="128">
        <f>SUM(X68:Y68)</f>
        <v>100</v>
      </c>
      <c r="AA68" s="129">
        <f>Z68/W68</f>
        <v>8.771929824561403E-3</v>
      </c>
      <c r="AB68" s="130">
        <v>0</v>
      </c>
      <c r="AC68" s="79">
        <v>4500</v>
      </c>
      <c r="AD68" s="131"/>
      <c r="AE68" s="79">
        <f t="shared" si="7"/>
        <v>4500</v>
      </c>
      <c r="AF68" s="52">
        <f t="shared" si="5"/>
        <v>11300</v>
      </c>
      <c r="AG68" s="118"/>
      <c r="AH68" s="118"/>
      <c r="AI68" s="118"/>
      <c r="AJ68" s="118"/>
      <c r="AK68" s="118"/>
      <c r="AL68" s="118"/>
      <c r="AM68" s="118"/>
      <c r="AN68" s="118"/>
      <c r="AO68" s="155" t="s">
        <v>148</v>
      </c>
    </row>
    <row r="69" spans="1:41" s="109" customFormat="1" ht="76.349999999999994" customHeight="1" x14ac:dyDescent="0.25">
      <c r="A69" s="68">
        <v>7</v>
      </c>
      <c r="B69" s="132" t="s">
        <v>138</v>
      </c>
      <c r="C69" s="114" t="s">
        <v>139</v>
      </c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90">
        <v>10967</v>
      </c>
      <c r="O69" s="134"/>
      <c r="P69" s="72">
        <v>100</v>
      </c>
      <c r="Q69" s="135"/>
      <c r="R69" s="72">
        <v>600</v>
      </c>
      <c r="S69" s="135"/>
      <c r="T69" s="135"/>
      <c r="U69" s="136">
        <v>10267</v>
      </c>
      <c r="V69" s="135"/>
      <c r="W69" s="57">
        <f t="shared" si="8"/>
        <v>10967</v>
      </c>
      <c r="X69" s="76">
        <v>100</v>
      </c>
      <c r="Y69" s="161"/>
      <c r="Z69" s="121">
        <f>SUM(X69:Y69)</f>
        <v>100</v>
      </c>
      <c r="AA69" s="137">
        <f>Z69/W69</f>
        <v>9.1182638825567618E-3</v>
      </c>
      <c r="AB69" s="78">
        <v>0</v>
      </c>
      <c r="AC69" s="79">
        <v>4300</v>
      </c>
      <c r="AD69" s="138"/>
      <c r="AE69" s="79">
        <f t="shared" si="7"/>
        <v>4300</v>
      </c>
      <c r="AF69" s="52">
        <f t="shared" si="5"/>
        <v>10867</v>
      </c>
      <c r="AG69" s="133"/>
      <c r="AH69" s="133"/>
      <c r="AI69" s="133"/>
      <c r="AJ69" s="133"/>
      <c r="AK69" s="133"/>
      <c r="AL69" s="133"/>
      <c r="AM69" s="133"/>
      <c r="AN69" s="133"/>
      <c r="AO69" s="155" t="s">
        <v>148</v>
      </c>
    </row>
    <row r="70" spans="1:41" ht="62.1" customHeight="1" x14ac:dyDescent="0.25">
      <c r="A70" s="68">
        <v>8</v>
      </c>
      <c r="B70" s="132" t="s">
        <v>140</v>
      </c>
      <c r="C70" s="114" t="s">
        <v>141</v>
      </c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90">
        <v>7073</v>
      </c>
      <c r="O70" s="119"/>
      <c r="P70" s="72">
        <v>100</v>
      </c>
      <c r="Q70" s="126"/>
      <c r="R70" s="72">
        <v>450</v>
      </c>
      <c r="S70" s="126"/>
      <c r="T70" s="126"/>
      <c r="U70" s="136">
        <v>6523</v>
      </c>
      <c r="V70" s="126"/>
      <c r="W70" s="57">
        <f t="shared" si="8"/>
        <v>7073</v>
      </c>
      <c r="X70" s="76">
        <v>100</v>
      </c>
      <c r="Y70" s="163"/>
      <c r="Z70" s="121">
        <f>SUM(X70:Y70)</f>
        <v>100</v>
      </c>
      <c r="AA70" s="137">
        <f>Z70/W70</f>
        <v>1.4138272303124559E-2</v>
      </c>
      <c r="AB70" s="78">
        <v>0</v>
      </c>
      <c r="AC70" s="79">
        <v>3950</v>
      </c>
      <c r="AD70" s="138"/>
      <c r="AE70" s="79">
        <f t="shared" si="7"/>
        <v>3950</v>
      </c>
      <c r="AF70" s="52">
        <f t="shared" si="5"/>
        <v>6973</v>
      </c>
      <c r="AG70" s="118"/>
      <c r="AH70" s="118"/>
      <c r="AI70" s="118"/>
      <c r="AJ70" s="118"/>
      <c r="AK70" s="118"/>
      <c r="AL70" s="118"/>
      <c r="AM70" s="118"/>
      <c r="AN70" s="118"/>
      <c r="AO70" s="116" t="s">
        <v>151</v>
      </c>
    </row>
    <row r="71" spans="1:41" s="149" customFormat="1" ht="62.1" customHeight="1" x14ac:dyDescent="0.25">
      <c r="A71" s="68">
        <v>9</v>
      </c>
      <c r="B71" s="140" t="s">
        <v>142</v>
      </c>
      <c r="C71" s="141" t="s">
        <v>143</v>
      </c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90">
        <v>600</v>
      </c>
      <c r="O71" s="143"/>
      <c r="P71" s="72"/>
      <c r="Q71" s="144"/>
      <c r="R71" s="72">
        <v>600</v>
      </c>
      <c r="S71" s="144"/>
      <c r="T71" s="144"/>
      <c r="U71" s="145"/>
      <c r="V71" s="144"/>
      <c r="W71" s="57">
        <f t="shared" si="8"/>
        <v>600</v>
      </c>
      <c r="X71" s="146"/>
      <c r="Y71" s="163"/>
      <c r="Z71" s="147"/>
      <c r="AA71" s="148"/>
      <c r="AB71" s="78"/>
      <c r="AC71" s="79"/>
      <c r="AD71" s="138"/>
      <c r="AE71" s="79">
        <f t="shared" si="7"/>
        <v>0</v>
      </c>
      <c r="AF71" s="52">
        <f t="shared" si="5"/>
        <v>600</v>
      </c>
      <c r="AG71" s="142"/>
      <c r="AH71" s="142"/>
      <c r="AI71" s="142"/>
      <c r="AJ71" s="142"/>
      <c r="AK71" s="142"/>
      <c r="AL71" s="142"/>
      <c r="AM71" s="142"/>
      <c r="AN71" s="142"/>
      <c r="AO71" s="156" t="s">
        <v>149</v>
      </c>
    </row>
    <row r="72" spans="1:41" s="149" customFormat="1" ht="62.1" customHeight="1" x14ac:dyDescent="0.25">
      <c r="A72" s="68">
        <v>10</v>
      </c>
      <c r="B72" s="140" t="s">
        <v>144</v>
      </c>
      <c r="C72" s="141" t="s">
        <v>145</v>
      </c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90">
        <v>800</v>
      </c>
      <c r="O72" s="143"/>
      <c r="P72" s="72"/>
      <c r="Q72" s="144"/>
      <c r="R72" s="72">
        <v>800</v>
      </c>
      <c r="S72" s="144"/>
      <c r="T72" s="144"/>
      <c r="U72" s="145"/>
      <c r="V72" s="144"/>
      <c r="W72" s="57">
        <f t="shared" si="8"/>
        <v>800</v>
      </c>
      <c r="X72" s="146"/>
      <c r="Y72" s="163"/>
      <c r="Z72" s="147"/>
      <c r="AA72" s="148"/>
      <c r="AB72" s="78"/>
      <c r="AC72" s="79"/>
      <c r="AD72" s="138"/>
      <c r="AE72" s="79">
        <f t="shared" si="7"/>
        <v>0</v>
      </c>
      <c r="AF72" s="52">
        <f t="shared" si="5"/>
        <v>800</v>
      </c>
      <c r="AG72" s="142"/>
      <c r="AH72" s="142"/>
      <c r="AI72" s="142"/>
      <c r="AJ72" s="142"/>
      <c r="AK72" s="142"/>
      <c r="AL72" s="142"/>
      <c r="AM72" s="142"/>
      <c r="AN72" s="142"/>
      <c r="AO72" s="156" t="s">
        <v>149</v>
      </c>
    </row>
    <row r="73" spans="1:41" s="149" customFormat="1" ht="62.1" customHeight="1" x14ac:dyDescent="0.25">
      <c r="A73" s="68">
        <v>11</v>
      </c>
      <c r="B73" s="140" t="s">
        <v>146</v>
      </c>
      <c r="C73" s="141" t="s">
        <v>143</v>
      </c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90">
        <v>1000</v>
      </c>
      <c r="O73" s="143"/>
      <c r="P73" s="72"/>
      <c r="Q73" s="144"/>
      <c r="R73" s="72">
        <v>1000</v>
      </c>
      <c r="S73" s="144"/>
      <c r="T73" s="144"/>
      <c r="U73" s="145"/>
      <c r="V73" s="144"/>
      <c r="W73" s="57">
        <f t="shared" si="8"/>
        <v>1000</v>
      </c>
      <c r="X73" s="146"/>
      <c r="Y73" s="163"/>
      <c r="Z73" s="147"/>
      <c r="AA73" s="148"/>
      <c r="AB73" s="78"/>
      <c r="AC73" s="79"/>
      <c r="AD73" s="138"/>
      <c r="AE73" s="79">
        <f t="shared" si="7"/>
        <v>0</v>
      </c>
      <c r="AF73" s="52">
        <f t="shared" si="5"/>
        <v>1000</v>
      </c>
      <c r="AG73" s="142"/>
      <c r="AH73" s="142"/>
      <c r="AI73" s="142"/>
      <c r="AJ73" s="142"/>
      <c r="AK73" s="142"/>
      <c r="AL73" s="142"/>
      <c r="AM73" s="142"/>
      <c r="AN73" s="142"/>
      <c r="AO73" s="156" t="s">
        <v>149</v>
      </c>
    </row>
    <row r="74" spans="1:41" ht="14.25" customHeight="1" x14ac:dyDescent="0.25">
      <c r="A74" s="118"/>
      <c r="B74" s="150"/>
      <c r="C74" s="119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9"/>
      <c r="O74" s="118"/>
      <c r="P74" s="118"/>
      <c r="Q74" s="118"/>
      <c r="R74" s="118"/>
      <c r="S74" s="118"/>
      <c r="T74" s="118"/>
      <c r="U74" s="118"/>
      <c r="V74" s="118"/>
      <c r="W74" s="57">
        <f t="shared" si="8"/>
        <v>0</v>
      </c>
      <c r="X74" s="139"/>
      <c r="Y74" s="163"/>
      <c r="Z74" s="139"/>
      <c r="AA74" s="118"/>
      <c r="AB74" s="118"/>
      <c r="AC74" s="151"/>
      <c r="AD74" s="142"/>
      <c r="AE74" s="142"/>
      <c r="AF74" s="118"/>
      <c r="AG74" s="118"/>
      <c r="AH74" s="118"/>
      <c r="AI74" s="118"/>
      <c r="AJ74" s="118"/>
      <c r="AK74" s="118"/>
      <c r="AL74" s="118"/>
      <c r="AM74" s="118"/>
      <c r="AN74" s="118"/>
      <c r="AO74" s="143"/>
    </row>
    <row r="75" spans="1:41" ht="14.25" customHeight="1" x14ac:dyDescent="0.25"/>
    <row r="76" spans="1:41" ht="14.25" customHeight="1" x14ac:dyDescent="0.25"/>
    <row r="77" spans="1:41" ht="14.25" customHeight="1" x14ac:dyDescent="0.25"/>
    <row r="78" spans="1:41" ht="14.25" customHeight="1" x14ac:dyDescent="0.25"/>
    <row r="79" spans="1:41" ht="14.25" customHeight="1" x14ac:dyDescent="0.25"/>
    <row r="80" spans="1:41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</sheetData>
  <mergeCells count="38">
    <mergeCell ref="K7:K9"/>
    <mergeCell ref="A1:AB1"/>
    <mergeCell ref="A2:AB2"/>
    <mergeCell ref="A4:AO4"/>
    <mergeCell ref="A5:AO5"/>
    <mergeCell ref="AF6:AO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F7:AF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E8"/>
    <mergeCell ref="AO7:AO9"/>
    <mergeCell ref="AM7:AM9"/>
    <mergeCell ref="AN7:AN9"/>
    <mergeCell ref="AS7:AS9"/>
    <mergeCell ref="AG7:AG9"/>
    <mergeCell ref="AH7:AH9"/>
    <mergeCell ref="AI7:AI9"/>
    <mergeCell ref="AJ7:AJ9"/>
    <mergeCell ref="AK7:AK9"/>
    <mergeCell ref="AL7:AL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2026-09-10T02:29:54Z</cp:lastPrinted>
  <dcterms:created xsi:type="dcterms:W3CDTF">2026-09-09T13:00:17Z</dcterms:created>
  <dcterms:modified xsi:type="dcterms:W3CDTF">2026-09-18T04:33:32Z</dcterms:modified>
</cp:coreProperties>
</file>